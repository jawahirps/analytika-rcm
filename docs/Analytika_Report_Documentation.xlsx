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GhafAnalytika\analytika-rcm\docs\"/>
    </mc:Choice>
  </mc:AlternateContent>
  <xr:revisionPtr revIDLastSave="0" documentId="13_ncr:1_{BBB3E946-2CBF-4ACF-B712-24D98E74EAFC}" xr6:coauthVersionLast="47" xr6:coauthVersionMax="47" xr10:uidLastSave="{00000000-0000-0000-0000-000000000000}"/>
  <bookViews>
    <workbookView xWindow="-120" yWindow="-120" windowWidth="29040" windowHeight="15720" firstSheet="1" activeTab="2" xr2:uid="{1231A854-F0D1-4FA9-A751-B39023242EB9}"/>
  </bookViews>
  <sheets>
    <sheet name="Report Types" sheetId="1" r:id="rId1"/>
    <sheet name="Input Filters" sheetId="2" r:id="rId2"/>
    <sheet name="Output Columns" sheetId="3" r:id="rId3"/>
    <sheet name="Processing Pipeline" sheetId="4" r:id="rId4"/>
    <sheet name="Business Logic" sheetId="5" r:id="rId5"/>
    <sheet name="Data Mode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5" l="1"/>
  <c r="B7" i="5"/>
  <c r="C6" i="5"/>
  <c r="B6" i="5"/>
</calcChain>
</file>

<file path=xl/sharedStrings.xml><?xml version="1.0" encoding="utf-8"?>
<sst xmlns="http://schemas.openxmlformats.org/spreadsheetml/2006/main" count="662" uniqueCount="479">
  <si>
    <t>Analytika RCM — Report Types Overview</t>
  </si>
  <si>
    <t>Generated: 12 Jun 2026 20:30  |  Source: Analytika RCM — ReportService.cs, ReportSchedulerController.cs</t>
  </si>
  <si>
    <t>Report Name</t>
  </si>
  <si>
    <t>Type ID</t>
  </si>
  <si>
    <t>Route</t>
  </si>
  <si>
    <t>Primary Purpose</t>
  </si>
  <si>
    <t>Key Metric / Focus</t>
  </si>
  <si>
    <t>Output Sheet Name</t>
  </si>
  <si>
    <t>Status</t>
  </si>
  <si>
    <t>Claim Summary</t>
  </si>
  <si>
    <t>ClaimSummary</t>
  </si>
  <si>
    <t>/ReportScheduler/ClaimSummaryReport</t>
  </si>
  <si>
    <t>Full claim status and financial reconciliation</t>
  </si>
  <si>
    <t>Net Amount, Payment Status, Settlement</t>
  </si>
  <si>
    <t>Active</t>
  </si>
  <si>
    <t>Claim Activity</t>
  </si>
  <si>
    <t>ClaimActivity</t>
  </si>
  <si>
    <t>/ReportScheduler/ClaimActivityReports</t>
  </si>
  <si>
    <t>Submission activity and lifecycle tracking</t>
  </si>
  <si>
    <t>Record Count, Submission Level</t>
  </si>
  <si>
    <t>Remittance Activity</t>
  </si>
  <si>
    <t>RemittanceActivity</t>
  </si>
  <si>
    <t>/ReportScheduler/RemittanceActivityReport</t>
  </si>
  <si>
    <t>Inbound remittance processing and matching</t>
  </si>
  <si>
    <t>Approved Amt, RA Date, RA File</t>
  </si>
  <si>
    <t>Claim Receiver</t>
  </si>
  <si>
    <t>ClaimReceiver</t>
  </si>
  <si>
    <t>/ReportScheduler/ClaimReceiverReport</t>
  </si>
  <si>
    <t>Claims segmented by receiver/payer node</t>
  </si>
  <si>
    <t>Receiver Name, Receiver ID</t>
  </si>
  <si>
    <t>Claim Clinician</t>
  </si>
  <si>
    <t>ClaimClinician</t>
  </si>
  <si>
    <t>/ReportScheduler/ClaimClinicianReport</t>
  </si>
  <si>
    <t>Provider-level claim performance</t>
  </si>
  <si>
    <t>Clinician Name/License</t>
  </si>
  <si>
    <t>Finance TAT</t>
  </si>
  <si>
    <t>FinanceTAT</t>
  </si>
  <si>
    <t>/ReportScheduler/FinanceTATReport</t>
  </si>
  <si>
    <t>Turnaround time from submission to settlement</t>
  </si>
  <si>
    <t>TAT (days): SettlementDate - SubmissionDate</t>
  </si>
  <si>
    <t>Denial Query</t>
  </si>
  <si>
    <t>DenialReport</t>
  </si>
  <si>
    <t>/ReportScheduler/DenialReport</t>
  </si>
  <si>
    <t>Denial root cause and pattern analysis</t>
  </si>
  <si>
    <t>Denial Code, Denial Description</t>
  </si>
  <si>
    <t>Claim Life Cycle</t>
  </si>
  <si>
    <t>ClaimLifeCycle</t>
  </si>
  <si>
    <t>/ReportScheduler/ClaimLifeCycleReport</t>
  </si>
  <si>
    <t>End-to-end claim journey visibility</t>
  </si>
  <si>
    <t>All stages: submission → RA → settlement</t>
  </si>
  <si>
    <t>Submission XML File</t>
  </si>
  <si>
    <t>SubmissionXML</t>
  </si>
  <si>
    <t>/AdvancedReports/SubmissionXMLFileReport</t>
  </si>
  <si>
    <t>Raw XML file inspection (advanced)</t>
  </si>
  <si>
    <t>— (not yet implemented)</t>
  </si>
  <si>
    <t>—</t>
  </si>
  <si>
    <t>Stub</t>
  </si>
  <si>
    <t>Analytika RCM — Report Filter Fields</t>
  </si>
  <si>
    <t>Filter Name</t>
  </si>
  <si>
    <t>Field / Param Name</t>
  </si>
  <si>
    <t>Input Type</t>
  </si>
  <si>
    <t>Source / Options</t>
  </si>
  <si>
    <t>Description</t>
  </si>
  <si>
    <t>Required</t>
  </si>
  <si>
    <t>Default</t>
  </si>
  <si>
    <t>Date Range Preset</t>
  </si>
  <si>
    <t>DateRange</t>
  </si>
  <si>
    <t>Dropdown</t>
  </si>
  <si>
    <t>Today | ThisMonth | LastMonth | ThisYear | LastYear | Custom</t>
  </si>
  <si>
    <t>Quick-select shortcut; sets DateFrom/DateTo automatically</t>
  </si>
  <si>
    <t>Yes</t>
  </si>
  <si>
    <t>ThisMonth</t>
  </si>
  <si>
    <t>Date From</t>
  </si>
  <si>
    <t>DateFrom</t>
  </si>
  <si>
    <t>Date Picker (flatpickr)</t>
  </si>
  <si>
    <t>User input (dd/MM/yyyy)</t>
  </si>
  <si>
    <t>Start of the date window applied to selected SearchCriteria field</t>
  </si>
  <si>
    <t>With Custom</t>
  </si>
  <si>
    <t>First of month</t>
  </si>
  <si>
    <t>Date To</t>
  </si>
  <si>
    <t>DateTo</t>
  </si>
  <si>
    <t>End of the date window</t>
  </si>
  <si>
    <t>Today</t>
  </si>
  <si>
    <t>Search Criteria</t>
  </si>
  <si>
    <t>SearchCriteria</t>
  </si>
  <si>
    <t>Radio / Dropdown</t>
  </si>
  <si>
    <t>EncounterStartDate | EncounterEndDate | SubmissionDate | PaymentDate</t>
  </si>
  <si>
    <t>Which date field the DateFrom/DateTo range is applied to</t>
  </si>
  <si>
    <t>No</t>
  </si>
  <si>
    <t>EncounterStartDate</t>
  </si>
  <si>
    <t>Facility</t>
  </si>
  <si>
    <t>SelectedFacilities</t>
  </si>
  <si>
    <t>Multi-Select (Select2)</t>
  </si>
  <si>
    <t>SELECT Id,Name FROM Facilities WHERE IsActive=1</t>
  </si>
  <si>
    <t>Filter to one or more facilities (BranchId). Empty = all.</t>
  </si>
  <si>
    <t>All</t>
  </si>
  <si>
    <t>Receiver</t>
  </si>
  <si>
    <t>SelectedReceivers</t>
  </si>
  <si>
    <t>SELECT Id,Name FROM Receivers WHERE IsActive=1</t>
  </si>
  <si>
    <t>Filter to receiver nodes. Empty = all.</t>
  </si>
  <si>
    <t>Payer</t>
  </si>
  <si>
    <t>SelectedPayers</t>
  </si>
  <si>
    <t>SELECT Id,Name FROM Payers WHERE IsActive=1</t>
  </si>
  <si>
    <t>Filter to insurance payers. Empty = all.</t>
  </si>
  <si>
    <t>Clinician</t>
  </si>
  <si>
    <t>SelectedClinicians</t>
  </si>
  <si>
    <t>SELECT Id,Name FROM Clinicians WHERE IsActive=1</t>
  </si>
  <si>
    <t>Filter to specific healthcare providers. Empty = all.</t>
  </si>
  <si>
    <t>Department</t>
  </si>
  <si>
    <t>SelectedDepartments</t>
  </si>
  <si>
    <t>SELECT Id,Name FROM Departments WHERE IsActive=1</t>
  </si>
  <si>
    <t>Filter to clinical departments. Empty = all.</t>
  </si>
  <si>
    <t>Encounter Type</t>
  </si>
  <si>
    <t>EncounterType</t>
  </si>
  <si>
    <t>Multi-Checkbox</t>
  </si>
  <si>
    <t>Inpatient | Outpatient | Emergency | Dental</t>
  </si>
  <si>
    <t>Filter claims by encounter type. Empty = all.</t>
  </si>
  <si>
    <t>Report Template</t>
  </si>
  <si>
    <t>Template</t>
  </si>
  <si>
    <t>Template1 | Template2 | Template3</t>
  </si>
  <si>
    <t>Column layout preset (currently all produce same 35-col output)</t>
  </si>
  <si>
    <t>Template1</t>
  </si>
  <si>
    <t>File Format</t>
  </si>
  <si>
    <t>FileFormat</t>
  </si>
  <si>
    <t>Excel (.xlsx) | CSV (.csv) | PDF (.pdf)</t>
  </si>
  <si>
    <t>Output file type. CSV/PDF not yet implemented.</t>
  </si>
  <si>
    <t>Excel</t>
  </si>
  <si>
    <t>Email To</t>
  </si>
  <si>
    <t>EmailTo</t>
  </si>
  <si>
    <t>Text Input</t>
  </si>
  <si>
    <t>Comma-separated email addresses</t>
  </si>
  <si>
    <t>Recipients for automated delivery after generation. Leave blank to skip email.</t>
  </si>
  <si>
    <t>(blank)</t>
  </si>
  <si>
    <t>Analytika RCM — Excel Output Columns (All 35)</t>
  </si>
  <si>
    <t>Col #</t>
  </si>
  <si>
    <t>Column Header</t>
  </si>
  <si>
    <t>Source / Internal Field</t>
  </si>
  <si>
    <t>Data Type</t>
  </si>
  <si>
    <t>Format / Notes</t>
  </si>
  <si>
    <t>Category</t>
  </si>
  <si>
    <t>String</t>
  </si>
  <si>
    <t>Text</t>
  </si>
  <si>
    <t>Identifier</t>
  </si>
  <si>
    <t>TransactionRef</t>
  </si>
  <si>
    <t>XmlParsedRecord.ClaimId</t>
  </si>
  <si>
    <t>Unique claim identifier from XML. Bold teal in Excel.</t>
  </si>
  <si>
    <t>Bold, #54ACBF colour</t>
  </si>
  <si>
    <t>XmlParsedRecord.ReceiverId</t>
  </si>
  <si>
    <t>Receiver node code (e.g. TPA code)</t>
  </si>
  <si>
    <t>Receiver Name</t>
  </si>
  <si>
    <t>DhpoCodingSets lookup OR ReceiverId</t>
  </si>
  <si>
    <t>Human-readable receiver name from coding-set lookup</t>
  </si>
  <si>
    <t>XmlParsedRecord.PayerId</t>
  </si>
  <si>
    <t>Payer code (insurance company code)</t>
  </si>
  <si>
    <t>Payer Name</t>
  </si>
  <si>
    <t>Patient ID</t>
  </si>
  <si>
    <t>XmlParsedRecord.PatientId</t>
  </si>
  <si>
    <t>Patient/Emirates ID</t>
  </si>
  <si>
    <t>Member Id</t>
  </si>
  <si>
    <t>XmlParsedRecord.MemberId</t>
  </si>
  <si>
    <t>Health plan member ID</t>
  </si>
  <si>
    <t>Treatment Date</t>
  </si>
  <si>
    <t>XmlParsedRecord.TreatmentDate</t>
  </si>
  <si>
    <t>DateTime</t>
  </si>
  <si>
    <t>Service start date (encounter date)</t>
  </si>
  <si>
    <t>dd/MM/yyyy HH:mm</t>
  </si>
  <si>
    <t>Date</t>
  </si>
  <si>
    <t>Date Of Admission</t>
  </si>
  <si>
    <t>XmlParsedRecord.AdmissionDate</t>
  </si>
  <si>
    <t>Inpatient admission date (null for outpatient)</t>
  </si>
  <si>
    <t>dd/MM/yyyy</t>
  </si>
  <si>
    <t>Submission Date</t>
  </si>
  <si>
    <t>XmlParsedRecord.SubmissionDate</t>
  </si>
  <si>
    <t>Date claim was submitted to payer</t>
  </si>
  <si>
    <t>XmlParsedRecord.EncounterType</t>
  </si>
  <si>
    <t>Outpatient | Inpatient | Emergency | Dental</t>
  </si>
  <si>
    <t>Clinical</t>
  </si>
  <si>
    <t>Service Year</t>
  </si>
  <si>
    <t>Derived from TreatmentDate.Year</t>
  </si>
  <si>
    <t>Int</t>
  </si>
  <si>
    <t>Calendar year extracted from Treatment Date</t>
  </si>
  <si>
    <t>Integer</t>
  </si>
  <si>
    <t>Derived</t>
  </si>
  <si>
    <t>Service Month</t>
  </si>
  <si>
    <t>Derived from TreatmentDate.Month</t>
  </si>
  <si>
    <t>Calendar month number from Treatment Date</t>
  </si>
  <si>
    <t>Record Count</t>
  </si>
  <si>
    <t>outboundCount + inboundCount</t>
  </si>
  <si>
    <t>Total submission + remittance records linked to this ClaimId</t>
  </si>
  <si>
    <t>Activity</t>
  </si>
  <si>
    <t>Submission Level</t>
  </si>
  <si>
    <t>DetermineSubmissionLevel()</t>
  </si>
  <si>
    <t>See logic sheet</t>
  </si>
  <si>
    <t>Net Amt - Initial Sub</t>
  </si>
  <si>
    <t>XmlParsedRecord.NetAmount (initial)</t>
  </si>
  <si>
    <t>Decimal</t>
  </si>
  <si>
    <t>Claim amount on first submission</t>
  </si>
  <si>
    <t>#,##0.00 (AED)</t>
  </si>
  <si>
    <t>Financial</t>
  </si>
  <si>
    <t>RA Received Amt</t>
  </si>
  <si>
    <t>RaEntry.ReceivedAmt</t>
  </si>
  <si>
    <t>Total net amount from all matched remittance advice records</t>
  </si>
  <si>
    <t>Net Amt - Resubmission</t>
  </si>
  <si>
    <t>XmlParsedRecord.NetAmount (resubmission)</t>
  </si>
  <si>
    <t>Claim amount on resubmission (0 if none)</t>
  </si>
  <si>
    <t>Approved Amt</t>
  </si>
  <si>
    <t>RaEntry.ApprovedAmt</t>
  </si>
  <si>
    <t>Sum of payment amounts from payer across all RA records</t>
  </si>
  <si>
    <t>Initial Sub Rejected Amt</t>
  </si>
  <si>
    <t>max(0, initialAmt - approvedAmt)</t>
  </si>
  <si>
    <t>Rejected portion on initial submission</t>
  </si>
  <si>
    <t>Rejected Amt - Resubmission</t>
  </si>
  <si>
    <t>max(0, resubAmt - approvedAmt) if resubAmt &gt; 0</t>
  </si>
  <si>
    <t>Rejected portion on resubmission (0 if no resubmission)</t>
  </si>
  <si>
    <t>Unsettled Amt</t>
  </si>
  <si>
    <t>balanceAmt - approvedAmt (≥0)</t>
  </si>
  <si>
    <t>Pending/open balance. 0 if no RA received (shown as Pending)</t>
  </si>
  <si>
    <t>Payment Status</t>
  </si>
  <si>
    <t>DeterminePaymentStatus()</t>
  </si>
  <si>
    <t>Pending | Rejected | Partial | Paid</t>
  </si>
  <si>
    <t>Denial Code</t>
  </si>
  <si>
    <t>RaEntry.DenialCode</t>
  </si>
  <si>
    <t>Primary denial reason code(s), pipe-separated if multiple</t>
  </si>
  <si>
    <t>Denial</t>
  </si>
  <si>
    <t>Denial Description</t>
  </si>
  <si>
    <t>Human-readable denial reason from DhpoCodingSets lookup</t>
  </si>
  <si>
    <t>Payment Ref</t>
  </si>
  <si>
    <t>RaEntry.PaymentRef</t>
  </si>
  <si>
    <t>Payer's payment reference number from RA</t>
  </si>
  <si>
    <t>Settlement</t>
  </si>
  <si>
    <t>Settlement Date</t>
  </si>
  <si>
    <t>RaEntry.SettlementDate</t>
  </si>
  <si>
    <t>Date payer confirmed settlement in RA</t>
  </si>
  <si>
    <t>ID Payer</t>
  </si>
  <si>
    <t>XmlParsedRecord.PayerClaimId</t>
  </si>
  <si>
    <t>Submission File</t>
  </si>
  <si>
    <t>XmlParsedRecord.FileName  |  RES: resubFileName</t>
  </si>
  <si>
    <t>Source XML file name for initial sub; resubmission file name after pipe</t>
  </si>
  <si>
    <t>Audit</t>
  </si>
  <si>
    <t>RA File</t>
  </si>
  <si>
    <t>RaEntry.RaFile</t>
  </si>
  <si>
    <t>Remittance advice XML file name(s)</t>
  </si>
  <si>
    <t>RA Date</t>
  </si>
  <si>
    <t>RaEntry.TransactionDate</t>
  </si>
  <si>
    <t>Remittance advice date(s)</t>
  </si>
  <si>
    <t>TAT</t>
  </si>
  <si>
    <t>(SettlementDate - SubmissionDate).TotalDays</t>
  </si>
  <si>
    <t>Turnaround time in days. Null if not settled.</t>
  </si>
  <si>
    <t>Integer (days)</t>
  </si>
  <si>
    <t>Diagnosis</t>
  </si>
  <si>
    <t>XmlParsedRecord.DiagnosisCode</t>
  </si>
  <si>
    <t>Analytika RCM — Report Generation Pipeline (ReportService.cs)</t>
  </si>
  <si>
    <t>Stage #</t>
  </si>
  <si>
    <t>Stage Name</t>
  </si>
  <si>
    <t>Progress %</t>
  </si>
  <si>
    <t>Input Data</t>
  </si>
  <si>
    <t>Output / Effect</t>
  </si>
  <si>
    <t>Key DB Tables</t>
  </si>
  <si>
    <t>Preparing query plan</t>
  </si>
  <si>
    <t>Log metadata and initialise generation context</t>
  </si>
  <si>
    <t>ReportRequest params</t>
  </si>
  <si>
    <t>Generation context object</t>
  </si>
  <si>
    <t>ReportRequests</t>
  </si>
  <si>
    <t>Preparing parsed XML</t>
  </si>
  <si>
    <t>5–20%</t>
  </si>
  <si>
    <t>Check XmlParsedRecords cache freshness; call XmlParsingService.ParseDownloadedXmlAsync() if stale</t>
  </si>
  <si>
    <t>PortalTransaction.FileContentXml</t>
  </si>
  <si>
    <t>Populated XmlParsedRecords rows</t>
  </si>
  <si>
    <t>PortalTransactions, XmlParsedRecords</t>
  </si>
  <si>
    <t>Loading payer lookup</t>
  </si>
  <si>
    <t>Query DhpoCodingSets WHERE Category='Payer' to build PayerId→Name map</t>
  </si>
  <si>
    <t>DhpoCodingSets table</t>
  </si>
  <si>
    <t>In-memory Dictionary&lt;string,string&gt;</t>
  </si>
  <si>
    <t>DhpoCodingSets</t>
  </si>
  <si>
    <t>Querying parsed submissions</t>
  </si>
  <si>
    <t>Load XmlParsedRecords WHERE RecordKind='Submission' AND ReadyForReport=1, optionally filter FacilityId</t>
  </si>
  <si>
    <t>Filter params</t>
  </si>
  <si>
    <t>IQueryable&lt;XmlParsedRecord&gt;</t>
  </si>
  <si>
    <t>XmlParsedRecords</t>
  </si>
  <si>
    <t>Loading parsed submissions</t>
  </si>
  <si>
    <t>Materialise submission query to List&lt;&gt; in memory</t>
  </si>
  <si>
    <t>XmlParsedRecord rows</t>
  </si>
  <si>
    <t>List&lt;XmlParsedRecord&gt; submissions</t>
  </si>
  <si>
    <t>Querying parsed remittances</t>
  </si>
  <si>
    <t>Load XmlParsedRecords WHERE RecordKind='Remittance' AND ReadyForReport=1, optionally filter FacilityId</t>
  </si>
  <si>
    <t>Loading parsed remittances</t>
  </si>
  <si>
    <t>Materialise remittance query</t>
  </si>
  <si>
    <t>List&lt;XmlParsedRecord&gt; remittances</t>
  </si>
  <si>
    <t>Matching inbound/outbound</t>
  </si>
  <si>
    <t>Call AggregateRemittances() — group remittances by ClaimId, sum amounts, collect denial codes</t>
  </si>
  <si>
    <t>List remittances</t>
  </si>
  <si>
    <t>Dictionary&lt;string, RaEntry&gt; raMap</t>
  </si>
  <si>
    <t>(in-memory)</t>
  </si>
  <si>
    <t>Separating submissions</t>
  </si>
  <si>
    <t>Identify initial vs resubmitted claims using IsResubmissionRow() logic (ResubmissionType field OR 'RES-' file prefix)</t>
  </si>
  <si>
    <t>List submissions</t>
  </si>
  <si>
    <t>Grouped claim rows</t>
  </si>
  <si>
    <t>Building ClaimRows</t>
  </si>
  <si>
    <t>58–85%</t>
  </si>
  <si>
    <t>Outer loop per ClaimId: merge initial + resubmission, apply date filters, match RaEntry, calculate all financial amounts. Progress updates every N rows.</t>
  </si>
  <si>
    <t>Grouped submissions + raMap</t>
  </si>
  <si>
    <t>List&lt;ClaimRow&gt;</t>
  </si>
  <si>
    <t>Generating workbook</t>
  </si>
  <si>
    <t>Use EPPlus to build .xlsx: header branding rows, column headers, data rows with zebra formatting, freeze panes, auto-filter, page setup</t>
  </si>
  <si>
    <t>MemoryStream (xlsx bytes)</t>
  </si>
  <si>
    <t>Saving report</t>
  </si>
  <si>
    <t>Write xlsx bytes to {WebRoot}/reports/{ReportId}_{timestamp}.xlsx</t>
  </si>
  <si>
    <t>MemoryStream</t>
  </si>
  <si>
    <t>Physical file on disk</t>
  </si>
  <si>
    <t>ReportRequests (update FilePath, Status='Completed')</t>
  </si>
  <si>
    <t>Sending email</t>
  </si>
  <si>
    <t>If EmailTo is set: call EmailService.SendReportAsync() to attach file and send via SMTP</t>
  </si>
  <si>
    <t>FilePath, EmailTo</t>
  </si>
  <si>
    <t>Email delivered (or logged warning if SMTP not configured)</t>
  </si>
  <si>
    <t>SystemSettings (SMTP config)</t>
  </si>
  <si>
    <t>Completed</t>
  </si>
  <si>
    <t>Update ReportRequest.Status='Completed', GeneratedAt=UtcNow. Notify real-time progress subscribers.</t>
  </si>
  <si>
    <t>Report available for download</t>
  </si>
  <si>
    <t>Analytika RCM — Key Business Logic Algorithms</t>
  </si>
  <si>
    <t>Generated: 12 Jun 2026 20:31  |  Source: Analytika RCM — ReportService.cs, ReportSchedulerController.cs</t>
  </si>
  <si>
    <t>SUBMISSION LEVEL CLASSIFICATION (DetermineSubmissionLevel)</t>
  </si>
  <si>
    <t>Condition</t>
  </si>
  <si>
    <t>outboundCount</t>
  </si>
  <si>
    <t>inboundCount</t>
  </si>
  <si>
    <t>resubmissionType</t>
  </si>
  <si>
    <t>Result</t>
  </si>
  <si>
    <t>Notes</t>
  </si>
  <si>
    <t>Single submission, no RA</t>
  </si>
  <si>
    <t>any</t>
  </si>
  <si>
    <t>Initial Submission</t>
  </si>
  <si>
    <t>First and only submission; no response yet</t>
  </si>
  <si>
    <t>Single submission, RA received</t>
  </si>
  <si>
    <t>&gt; 0</t>
  </si>
  <si>
    <t>N RA received (where N=inboundCount)</t>
  </si>
  <si>
    <t>N = number of remittance records received</t>
  </si>
  <si>
    <t>Multiple submissions, type=correction</t>
  </si>
  <si>
    <t>&gt; 1</t>
  </si>
  <si>
    <t>correction</t>
  </si>
  <si>
    <t>Resubmitted - Correction</t>
  </si>
  <si>
    <t>Multiple submissions, type=internal complaint</t>
  </si>
  <si>
    <t>internal complaint</t>
  </si>
  <si>
    <t>Resubmitted - Internal Complaint</t>
  </si>
  <si>
    <t>Internal appeal resubmission</t>
  </si>
  <si>
    <t>Multiple submissions, other type</t>
  </si>
  <si>
    <t>Dynamic label from resubmissionType field</t>
  </si>
  <si>
    <t>IsResubmissionRow(): true if</t>
  </si>
  <si>
    <t>SubmissionFile starts with 'RES-' (case-insensitive)</t>
  </si>
  <si>
    <t>OR ResubmissionType field is non-empty</t>
  </si>
  <si>
    <t>PAYMENT STATUS DETERMINATION (DeterminePaymentStatus)</t>
  </si>
  <si>
    <t>Priority</t>
  </si>
  <si>
    <t>Status Result</t>
  </si>
  <si>
    <t>Formula</t>
  </si>
  <si>
    <t>ra == null  (no remittance matched)</t>
  </si>
  <si>
    <t>Pending</t>
  </si>
  <si>
    <t>Claim submitted but payer has not responded</t>
  </si>
  <si>
    <t>raMap.ContainsKey(ClaimId) = false</t>
  </si>
  <si>
    <t>Yellow/amber badge</t>
  </si>
  <si>
    <t>approvedAmt &lt;= 0  (RA received, zero payment)</t>
  </si>
  <si>
    <t>Rejected</t>
  </si>
  <si>
    <t>Payer rejected entire claim</t>
  </si>
  <si>
    <t>approvedAmt = RaEntry.ApprovedAmt ≤ 0</t>
  </si>
  <si>
    <t>Red badge</t>
  </si>
  <si>
    <t>approvedAmt &lt; balanceAmt - 0.01</t>
  </si>
  <si>
    <t>Partial</t>
  </si>
  <si>
    <t>Payer approved less than submitted amount</t>
  </si>
  <si>
    <t>balanceAmt = resubAmt ?? initialAmt</t>
  </si>
  <si>
    <t>Orange badge</t>
  </si>
  <si>
    <t>all other cases</t>
  </si>
  <si>
    <t>Paid</t>
  </si>
  <si>
    <t>Full payment approved</t>
  </si>
  <si>
    <t>approvedAmt ≥ balanceAmt - 0.01</t>
  </si>
  <si>
    <t>Green badge</t>
  </si>
  <si>
    <t>FINANCIAL AMOUNT CALCULATIONS</t>
  </si>
  <si>
    <t>Field</t>
  </si>
  <si>
    <t>Source Fields</t>
  </si>
  <si>
    <t>Unit</t>
  </si>
  <si>
    <t>balanceAmount</t>
  </si>
  <si>
    <t>resubAmount &gt; 0 ? resubAmount : initialAmount</t>
  </si>
  <si>
    <t>NetAmount (initial or resubmission)</t>
  </si>
  <si>
    <t>AED</t>
  </si>
  <si>
    <t>The 'controlling' amount for payment status</t>
  </si>
  <si>
    <t>unsettledAmount</t>
  </si>
  <si>
    <t>max(0, balanceAmount - approvedAmount)</t>
  </si>
  <si>
    <t>balanceAmount, approvedAmount</t>
  </si>
  <si>
    <t>0 when no RA (Pending); actual gap otherwise</t>
  </si>
  <si>
    <t>rejInitialAmount</t>
  </si>
  <si>
    <t>max(0, initialAmount - approvedAmount)</t>
  </si>
  <si>
    <t>NetAmount (initial), approvedAmount</t>
  </si>
  <si>
    <t>Rejected on first submission</t>
  </si>
  <si>
    <t>rejResubAmount</t>
  </si>
  <si>
    <t>resubAmount &gt; 0 ? max(0, resubAmount - approvedAmount) : 0</t>
  </si>
  <si>
    <t>NetAmount (resubmission), approvedAmount</t>
  </si>
  <si>
    <t>Only populated when resubmission exists</t>
  </si>
  <si>
    <t>TAT (days)</t>
  </si>
  <si>
    <t>(settlementDate - submissionDate).TotalDays</t>
  </si>
  <si>
    <t>SettlementDate, SubmissionDate</t>
  </si>
  <si>
    <t>Days</t>
  </si>
  <si>
    <t>Null/blank if not settled. Integer.</t>
  </si>
  <si>
    <t>Analytika RCM — Database Tables Used in Report Generation</t>
  </si>
  <si>
    <t>Table</t>
  </si>
  <si>
    <t>Key Columns</t>
  </si>
  <si>
    <t>Role in Report Generation</t>
  </si>
  <si>
    <t>Filter Used</t>
  </si>
  <si>
    <t>Populated By</t>
  </si>
  <si>
    <t>Id, ClaimId, RecordKind, FacilityId, ReadyForReport, NetAmount, PayerClaimId, SettlementDate, PaymentRef, DenialCodesJson, Comments, FileName, TransactionDate, TreatmentDate, TreatmentDateEnd, SubmissionDate</t>
  </si>
  <si>
    <t>Primary data source. One row per parsed claim. RecordKind='Submission'|'Remittance'. ReadyForReport=1 means parsing succeeded.</t>
  </si>
  <si>
    <t>RecordKind, FacilityId, ReadyForReport</t>
  </si>
  <si>
    <t>XmlParsingService (parses PortalTransaction.FileContentXml)</t>
  </si>
  <si>
    <t>Cached; only re-parsed if new transactions exist</t>
  </si>
  <si>
    <t>PortalTransactions</t>
  </si>
  <si>
    <t>Id, FacilityId, FileContentXml, RecordType, FileDate, FileName</t>
  </si>
  <si>
    <t>Source of raw XML content. Report service triggers re-parse of new rows.</t>
  </si>
  <si>
    <t>FacilityId, RecordType</t>
  </si>
  <si>
    <t>Portal sync/fetch process</t>
  </si>
  <si>
    <t>47GB DB; FileContentXml stores full XML blob</t>
  </si>
  <si>
    <t>Category, Code, Name</t>
  </si>
  <si>
    <t>Lookup table for payer names and denial code descriptions. Category='Payer' for payer names.</t>
  </si>
  <si>
    <t>Admin coding set management</t>
  </si>
  <si>
    <t>Also used for denial code descriptions</t>
  </si>
  <si>
    <t>Facilities</t>
  </si>
  <si>
    <t>Id, Name, IsActive</t>
  </si>
  <si>
    <t>Populates facility dropdown. BranchId on reports maps to Id.</t>
  </si>
  <si>
    <t>IsActive=1</t>
  </si>
  <si>
    <t>Admin facility management</t>
  </si>
  <si>
    <t>Used for display name in output</t>
  </si>
  <si>
    <t>Payers</t>
  </si>
  <si>
    <t>Id, Code, Name, IsActive</t>
  </si>
  <si>
    <t>Populates payer dropdown filter.</t>
  </si>
  <si>
    <t>Admin payer management</t>
  </si>
  <si>
    <t>PayerId on XmlParsedRecord matches Code</t>
  </si>
  <si>
    <t>Receivers</t>
  </si>
  <si>
    <t>Populates receiver dropdown filter.</t>
  </si>
  <si>
    <t>Admin receiver management</t>
  </si>
  <si>
    <t>ReceiverId on XmlParsedRecord matches Code</t>
  </si>
  <si>
    <t>Clinicians</t>
  </si>
  <si>
    <t>Id, Name, LicenseNo, IsActive</t>
  </si>
  <si>
    <t>Populates clinician dropdown filter.</t>
  </si>
  <si>
    <t>Admin clinician management</t>
  </si>
  <si>
    <t>Matched to XmlParsedRecord.ClinicianName</t>
  </si>
  <si>
    <t>Departments</t>
  </si>
  <si>
    <t>Populates department dropdown filter.</t>
  </si>
  <si>
    <t>Admin department management</t>
  </si>
  <si>
    <t>Not yet used in output columns</t>
  </si>
  <si>
    <t>Id, ReportId, ReportType, Status, FilePath, RequestedAt, GeneratedAt, EmailTo</t>
  </si>
  <si>
    <t>Tracks report generation requests and their status. Links to output file.</t>
  </si>
  <si>
    <t>ReportType</t>
  </si>
  <si>
    <t>ReportSchedulerController.CreateReport()</t>
  </si>
  <si>
    <t>File is at {WebRoot}{FilePath}</t>
  </si>
  <si>
    <t>ReportSchedules</t>
  </si>
  <si>
    <t>Id, Name, ReportType, CronExpression, Recipients, IsActive, LastRunAt</t>
  </si>
  <si>
    <t>Automated scheduled report delivery configuration.</t>
  </si>
  <si>
    <t>Admin schedule management</t>
  </si>
  <si>
    <t>Hangfire background job runner</t>
  </si>
  <si>
    <t>SystemSettings</t>
  </si>
  <si>
    <t>Category, Key, Value</t>
  </si>
  <si>
    <t>SMTP configuration for email delivery. Category='SMTP'.</t>
  </si>
  <si>
    <t>Category='SMTP'</t>
  </si>
  <si>
    <t>Admin email settings</t>
  </si>
  <si>
    <t>Falls back to appsettings.json if missing</t>
  </si>
  <si>
    <t>&gt; 2</t>
  </si>
  <si>
    <t>Resubmitted -  awaiting RA</t>
  </si>
  <si>
    <t>Resubmitted</t>
  </si>
  <si>
    <t>&gt;B11</t>
  </si>
  <si>
    <t>Recon Pending</t>
  </si>
  <si>
    <t>Multiple submissions, type=Reconciliation</t>
  </si>
  <si>
    <t>Reconciled</t>
  </si>
  <si>
    <t>Resubmitted - Reconciliation</t>
  </si>
  <si>
    <t>Reconciliation acknowledgement resubmission</t>
  </si>
  <si>
    <t>claim corrections such as payer,card number etc correction resubmission</t>
  </si>
  <si>
    <t>Resubmitted &amp; awaiting next RA</t>
  </si>
  <si>
    <t>Pending - Resubmitted</t>
  </si>
  <si>
    <t>DhpoCodingSets lookup OR Facilityid</t>
  </si>
  <si>
    <t>DhpoCodingSets lookup OR payerid</t>
  </si>
  <si>
    <t>DhpoCodingSets lookup OR clinician id</t>
  </si>
  <si>
    <t>Payer's  claim IDpayer from remittance</t>
  </si>
  <si>
    <t>look up value from DenialCode</t>
  </si>
  <si>
    <t>Initial Submission | Resubmitted-Correction | Resubmitted-Internal Complaint | Resubmitted-Reconciliation | N RA received</t>
  </si>
  <si>
    <t>ICD-10 diagnosis codes " | " separated</t>
  </si>
  <si>
    <t>Resubmitted &amp; rejected external negotiation pending for final resubmission under reconciliation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</si>
</sst>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2"/>
      <color rgb="FF646464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11C40"/>
        <bgColor indexed="64"/>
      </patternFill>
    </fill>
    <fill>
      <patternFill patternType="solid">
        <fgColor rgb="FFEAF4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9" fontId="0" fillId="0" borderId="0" xfId="0" applyNumberFormat="1" applyAlignment="1">
      <alignment wrapText="1"/>
    </xf>
    <xf numFmtId="9" fontId="0" fillId="3" borderId="0" xfId="0" applyNumberFormat="1" applyFill="1" applyAlignment="1">
      <alignment wrapText="1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3B277BF-BE62-4C8C-A27B-50B1A631CF78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31604163-9fce-463c-b6f0-6c55d247d6a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5130-D05A-4A08-AE52-CD46A2EB5A06}">
  <sheetPr>
    <tabColor rgb="FF011C40"/>
  </sheetPr>
  <dimension ref="A1:H12"/>
  <sheetViews>
    <sheetView workbookViewId="0">
      <pane ySplit="3" topLeftCell="A4" activePane="bottomLeft" state="frozen"/>
      <selection pane="bottomLeft" activeCell="A4" sqref="A4"/>
    </sheetView>
  </sheetViews>
  <sheetFormatPr defaultRowHeight="15.75" x14ac:dyDescent="0.25"/>
  <cols>
    <col min="1" max="1" width="26.625" customWidth="1"/>
    <col min="2" max="2" width="18.625" customWidth="1"/>
    <col min="3" max="3" width="34.625" customWidth="1"/>
    <col min="4" max="4" width="36.625" customWidth="1"/>
    <col min="5" max="5" width="32.625" customWidth="1"/>
    <col min="6" max="6" width="22.625" customWidth="1"/>
    <col min="7" max="7" width="10.625" customWidth="1"/>
  </cols>
  <sheetData>
    <row r="1" spans="1:8" ht="30" customHeight="1" x14ac:dyDescent="0.3">
      <c r="A1" s="6" t="s">
        <v>0</v>
      </c>
      <c r="B1" s="7"/>
      <c r="C1" s="7"/>
      <c r="D1" s="7"/>
      <c r="E1" s="7"/>
      <c r="F1" s="7"/>
      <c r="G1" s="7"/>
      <c r="H1" s="7"/>
    </row>
    <row r="2" spans="1:8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</row>
    <row r="3" spans="1:8" ht="20.10000000000000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8" ht="36" customHeight="1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9</v>
      </c>
      <c r="G4" s="3" t="s">
        <v>14</v>
      </c>
    </row>
    <row r="5" spans="1:8" ht="36" customHeight="1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15</v>
      </c>
      <c r="G5" s="2" t="s">
        <v>14</v>
      </c>
    </row>
    <row r="6" spans="1:8" ht="36" customHeight="1" x14ac:dyDescent="0.25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20</v>
      </c>
      <c r="G6" s="3" t="s">
        <v>14</v>
      </c>
    </row>
    <row r="7" spans="1:8" ht="36" customHeight="1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25</v>
      </c>
      <c r="G7" s="2" t="s">
        <v>14</v>
      </c>
    </row>
    <row r="8" spans="1:8" ht="36" customHeight="1" x14ac:dyDescent="0.25">
      <c r="A8" s="3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30</v>
      </c>
      <c r="G8" s="3" t="s">
        <v>14</v>
      </c>
    </row>
    <row r="9" spans="1:8" ht="36" customHeight="1" x14ac:dyDescent="0.25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35</v>
      </c>
      <c r="G9" s="2" t="s">
        <v>14</v>
      </c>
    </row>
    <row r="10" spans="1:8" ht="36" customHeight="1" x14ac:dyDescent="0.25">
      <c r="A10" s="3" t="s">
        <v>40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40</v>
      </c>
      <c r="G10" s="3" t="s">
        <v>14</v>
      </c>
    </row>
    <row r="11" spans="1:8" ht="36" customHeight="1" x14ac:dyDescent="0.2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45</v>
      </c>
      <c r="G11" s="2" t="s">
        <v>14</v>
      </c>
    </row>
    <row r="12" spans="1:8" ht="36" customHeight="1" x14ac:dyDescent="0.25">
      <c r="A12" s="3" t="s">
        <v>50</v>
      </c>
      <c r="B12" s="3" t="s">
        <v>51</v>
      </c>
      <c r="C12" s="3" t="s">
        <v>52</v>
      </c>
      <c r="D12" s="3" t="s">
        <v>53</v>
      </c>
      <c r="E12" s="3" t="s">
        <v>54</v>
      </c>
      <c r="F12" s="3" t="s">
        <v>55</v>
      </c>
      <c r="G12" s="3" t="s">
        <v>56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6F2D-10DB-4F67-ACE2-1C1709782533}">
  <sheetPr>
    <tabColor rgb="FF023859"/>
  </sheetPr>
  <dimension ref="A1:H16"/>
  <sheetViews>
    <sheetView topLeftCell="B1" zoomScale="85" zoomScaleNormal="85" workbookViewId="0">
      <pane ySplit="3" topLeftCell="A4" activePane="bottomLeft" state="frozen"/>
      <selection pane="bottomLeft" activeCell="F4" sqref="F4"/>
    </sheetView>
  </sheetViews>
  <sheetFormatPr defaultRowHeight="15.75" x14ac:dyDescent="0.25"/>
  <cols>
    <col min="1" max="1" width="22.625" customWidth="1"/>
    <col min="2" max="2" width="24.625" customWidth="1"/>
    <col min="3" max="3" width="18.625" customWidth="1"/>
    <col min="4" max="4" width="36.625" customWidth="1"/>
    <col min="5" max="5" width="40.625" customWidth="1"/>
    <col min="6" max="6" width="10.625" customWidth="1"/>
    <col min="7" max="7" width="20.625" customWidth="1"/>
  </cols>
  <sheetData>
    <row r="1" spans="1:8" ht="30" customHeight="1" x14ac:dyDescent="0.3">
      <c r="A1" s="6" t="s">
        <v>57</v>
      </c>
      <c r="B1" s="7"/>
      <c r="C1" s="7"/>
      <c r="D1" s="7"/>
      <c r="E1" s="7"/>
      <c r="F1" s="7"/>
      <c r="G1" s="7"/>
      <c r="H1" s="7"/>
    </row>
    <row r="2" spans="1:8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</row>
    <row r="3" spans="1:8" ht="20.100000000000001" customHeight="1" x14ac:dyDescent="0.25">
      <c r="A3" s="1" t="s">
        <v>58</v>
      </c>
      <c r="B3" s="1" t="s">
        <v>59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64</v>
      </c>
    </row>
    <row r="4" spans="1:8" ht="36" customHeight="1" x14ac:dyDescent="0.25">
      <c r="A4" s="3" t="s">
        <v>65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</row>
    <row r="5" spans="1:8" ht="36" customHeight="1" x14ac:dyDescent="0.25">
      <c r="A5" s="2" t="s">
        <v>72</v>
      </c>
      <c r="B5" s="2" t="s">
        <v>73</v>
      </c>
      <c r="C5" s="2" t="s">
        <v>74</v>
      </c>
      <c r="D5" s="2" t="s">
        <v>75</v>
      </c>
      <c r="E5" s="2" t="s">
        <v>76</v>
      </c>
      <c r="F5" s="2" t="s">
        <v>77</v>
      </c>
      <c r="G5" s="2" t="s">
        <v>78</v>
      </c>
    </row>
    <row r="6" spans="1:8" ht="36" customHeight="1" x14ac:dyDescent="0.25">
      <c r="A6" s="3" t="s">
        <v>79</v>
      </c>
      <c r="B6" s="3" t="s">
        <v>80</v>
      </c>
      <c r="C6" s="3" t="s">
        <v>74</v>
      </c>
      <c r="D6" s="3" t="s">
        <v>75</v>
      </c>
      <c r="E6" s="3" t="s">
        <v>81</v>
      </c>
      <c r="F6" s="3" t="s">
        <v>77</v>
      </c>
      <c r="G6" s="3" t="s">
        <v>82</v>
      </c>
    </row>
    <row r="7" spans="1:8" ht="36" customHeight="1" x14ac:dyDescent="0.25">
      <c r="A7" s="2" t="s">
        <v>83</v>
      </c>
      <c r="B7" s="2" t="s">
        <v>84</v>
      </c>
      <c r="C7" s="2" t="s">
        <v>85</v>
      </c>
      <c r="D7" s="2" t="s">
        <v>86</v>
      </c>
      <c r="E7" s="2" t="s">
        <v>87</v>
      </c>
      <c r="F7" s="2" t="s">
        <v>88</v>
      </c>
      <c r="G7" s="2" t="s">
        <v>89</v>
      </c>
    </row>
    <row r="8" spans="1:8" ht="36" customHeight="1" x14ac:dyDescent="0.25">
      <c r="A8" s="3" t="s">
        <v>90</v>
      </c>
      <c r="B8" s="3" t="s">
        <v>91</v>
      </c>
      <c r="C8" s="3" t="s">
        <v>92</v>
      </c>
      <c r="D8" s="3" t="s">
        <v>93</v>
      </c>
      <c r="E8" s="3" t="s">
        <v>94</v>
      </c>
      <c r="F8" s="3" t="s">
        <v>88</v>
      </c>
      <c r="G8" s="3" t="s">
        <v>95</v>
      </c>
    </row>
    <row r="9" spans="1:8" ht="36" customHeight="1" x14ac:dyDescent="0.25">
      <c r="A9" s="2" t="s">
        <v>96</v>
      </c>
      <c r="B9" s="2" t="s">
        <v>97</v>
      </c>
      <c r="C9" s="2" t="s">
        <v>92</v>
      </c>
      <c r="D9" s="2" t="s">
        <v>98</v>
      </c>
      <c r="E9" s="2" t="s">
        <v>99</v>
      </c>
      <c r="F9" s="2" t="s">
        <v>88</v>
      </c>
      <c r="G9" s="2" t="s">
        <v>95</v>
      </c>
    </row>
    <row r="10" spans="1:8" ht="36" customHeight="1" x14ac:dyDescent="0.25">
      <c r="A10" s="3" t="s">
        <v>100</v>
      </c>
      <c r="B10" s="3" t="s">
        <v>101</v>
      </c>
      <c r="C10" s="3" t="s">
        <v>92</v>
      </c>
      <c r="D10" s="3" t="s">
        <v>102</v>
      </c>
      <c r="E10" s="3" t="s">
        <v>103</v>
      </c>
      <c r="F10" s="3" t="s">
        <v>88</v>
      </c>
      <c r="G10" s="3" t="s">
        <v>95</v>
      </c>
    </row>
    <row r="11" spans="1:8" ht="36" customHeight="1" x14ac:dyDescent="0.25">
      <c r="A11" s="2" t="s">
        <v>104</v>
      </c>
      <c r="B11" s="2" t="s">
        <v>105</v>
      </c>
      <c r="C11" s="2" t="s">
        <v>92</v>
      </c>
      <c r="D11" s="2" t="s">
        <v>106</v>
      </c>
      <c r="E11" s="2" t="s">
        <v>107</v>
      </c>
      <c r="F11" s="2" t="s">
        <v>88</v>
      </c>
      <c r="G11" s="2" t="s">
        <v>95</v>
      </c>
    </row>
    <row r="12" spans="1:8" ht="36" customHeight="1" x14ac:dyDescent="0.25">
      <c r="A12" s="3" t="s">
        <v>108</v>
      </c>
      <c r="B12" s="3" t="s">
        <v>109</v>
      </c>
      <c r="C12" s="3" t="s">
        <v>92</v>
      </c>
      <c r="D12" s="3" t="s">
        <v>110</v>
      </c>
      <c r="E12" s="3" t="s">
        <v>111</v>
      </c>
      <c r="F12" s="3" t="s">
        <v>88</v>
      </c>
      <c r="G12" s="3" t="s">
        <v>95</v>
      </c>
    </row>
    <row r="13" spans="1:8" ht="36" customHeight="1" x14ac:dyDescent="0.25">
      <c r="A13" s="2" t="s">
        <v>112</v>
      </c>
      <c r="B13" s="2" t="s">
        <v>113</v>
      </c>
      <c r="C13" s="2" t="s">
        <v>114</v>
      </c>
      <c r="D13" s="2" t="s">
        <v>115</v>
      </c>
      <c r="E13" s="2" t="s">
        <v>116</v>
      </c>
      <c r="F13" s="2" t="s">
        <v>88</v>
      </c>
      <c r="G13" s="2" t="s">
        <v>95</v>
      </c>
    </row>
    <row r="14" spans="1:8" ht="36" customHeight="1" x14ac:dyDescent="0.25">
      <c r="A14" s="3" t="s">
        <v>117</v>
      </c>
      <c r="B14" s="3" t="s">
        <v>118</v>
      </c>
      <c r="C14" s="3" t="s">
        <v>67</v>
      </c>
      <c r="D14" s="3" t="s">
        <v>119</v>
      </c>
      <c r="E14" s="3" t="s">
        <v>120</v>
      </c>
      <c r="F14" s="3" t="s">
        <v>88</v>
      </c>
      <c r="G14" s="3" t="s">
        <v>121</v>
      </c>
    </row>
    <row r="15" spans="1:8" ht="36" customHeight="1" x14ac:dyDescent="0.25">
      <c r="A15" s="2" t="s">
        <v>122</v>
      </c>
      <c r="B15" s="2" t="s">
        <v>123</v>
      </c>
      <c r="C15" s="2" t="s">
        <v>67</v>
      </c>
      <c r="D15" s="2" t="s">
        <v>124</v>
      </c>
      <c r="E15" s="2" t="s">
        <v>125</v>
      </c>
      <c r="F15" s="2" t="s">
        <v>70</v>
      </c>
      <c r="G15" s="2" t="s">
        <v>126</v>
      </c>
    </row>
    <row r="16" spans="1:8" ht="36" customHeight="1" x14ac:dyDescent="0.25">
      <c r="A16" s="3" t="s">
        <v>127</v>
      </c>
      <c r="B16" s="3" t="s">
        <v>128</v>
      </c>
      <c r="C16" s="3" t="s">
        <v>129</v>
      </c>
      <c r="D16" s="3" t="s">
        <v>130</v>
      </c>
      <c r="E16" s="3" t="s">
        <v>131</v>
      </c>
      <c r="F16" s="3" t="s">
        <v>88</v>
      </c>
      <c r="G16" s="3" t="s">
        <v>132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FFD25-5C9C-4AE9-AA8D-A3903F5E96B4}">
  <sheetPr>
    <tabColor rgb="FF54ACBF"/>
  </sheetPr>
  <dimension ref="A1:H38"/>
  <sheetViews>
    <sheetView tabSelected="1" zoomScale="130" zoomScaleNormal="130" workbookViewId="0">
      <pane ySplit="3" topLeftCell="A20" activePane="bottomLeft" state="frozen"/>
      <selection pane="bottomLeft" activeCell="E22" sqref="E22"/>
    </sheetView>
  </sheetViews>
  <sheetFormatPr defaultRowHeight="15.75" x14ac:dyDescent="0.25"/>
  <cols>
    <col min="1" max="1" width="6.625" customWidth="1"/>
    <col min="2" max="2" width="24.625" customWidth="1"/>
    <col min="3" max="3" width="26.625" customWidth="1"/>
    <col min="4" max="4" width="14.625" customWidth="1"/>
    <col min="5" max="5" width="44.625" customWidth="1"/>
    <col min="6" max="6" width="28.625" customWidth="1"/>
    <col min="7" max="7" width="18.625" customWidth="1"/>
  </cols>
  <sheetData>
    <row r="1" spans="1:8" ht="30" customHeight="1" x14ac:dyDescent="0.3">
      <c r="A1" s="6" t="s">
        <v>133</v>
      </c>
      <c r="B1" s="7"/>
      <c r="C1" s="7"/>
      <c r="D1" s="7"/>
      <c r="E1" s="7"/>
      <c r="F1" s="7"/>
      <c r="G1" s="7"/>
      <c r="H1" s="7"/>
    </row>
    <row r="2" spans="1:8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</row>
    <row r="3" spans="1:8" ht="20.100000000000001" customHeight="1" x14ac:dyDescent="0.25">
      <c r="A3" s="1" t="s">
        <v>134</v>
      </c>
      <c r="B3" s="1" t="s">
        <v>135</v>
      </c>
      <c r="C3" s="1" t="s">
        <v>136</v>
      </c>
      <c r="D3" s="1" t="s">
        <v>137</v>
      </c>
      <c r="E3" s="1" t="s">
        <v>62</v>
      </c>
      <c r="F3" s="1" t="s">
        <v>138</v>
      </c>
      <c r="G3" s="1" t="s">
        <v>139</v>
      </c>
    </row>
    <row r="4" spans="1:8" ht="36" customHeight="1" x14ac:dyDescent="0.25">
      <c r="A4" s="3">
        <v>1</v>
      </c>
      <c r="B4" s="3" t="s">
        <v>90</v>
      </c>
      <c r="C4" s="2" t="s">
        <v>471</v>
      </c>
      <c r="D4" s="2" t="s">
        <v>140</v>
      </c>
      <c r="E4" s="2" t="s">
        <v>151</v>
      </c>
      <c r="F4" s="3" t="s">
        <v>141</v>
      </c>
      <c r="G4" s="3" t="s">
        <v>142</v>
      </c>
    </row>
    <row r="5" spans="1:8" ht="36" customHeight="1" x14ac:dyDescent="0.25">
      <c r="A5" s="2">
        <v>2</v>
      </c>
      <c r="B5" s="2" t="s">
        <v>143</v>
      </c>
      <c r="C5" s="2" t="s">
        <v>144</v>
      </c>
      <c r="D5" s="2" t="s">
        <v>140</v>
      </c>
      <c r="E5" s="2" t="s">
        <v>145</v>
      </c>
      <c r="F5" s="2" t="s">
        <v>146</v>
      </c>
      <c r="G5" s="2" t="s">
        <v>142</v>
      </c>
    </row>
    <row r="6" spans="1:8" ht="36" customHeight="1" x14ac:dyDescent="0.25">
      <c r="A6" s="3">
        <v>3</v>
      </c>
      <c r="B6" s="3" t="s">
        <v>96</v>
      </c>
      <c r="C6" s="3" t="s">
        <v>147</v>
      </c>
      <c r="D6" s="3" t="s">
        <v>140</v>
      </c>
      <c r="E6" s="3" t="s">
        <v>148</v>
      </c>
      <c r="F6" s="3" t="s">
        <v>141</v>
      </c>
      <c r="G6" s="3" t="s">
        <v>142</v>
      </c>
    </row>
    <row r="7" spans="1:8" ht="36" customHeight="1" x14ac:dyDescent="0.25">
      <c r="A7" s="2">
        <v>4</v>
      </c>
      <c r="B7" s="2" t="s">
        <v>149</v>
      </c>
      <c r="C7" s="2" t="s">
        <v>150</v>
      </c>
      <c r="D7" s="2" t="s">
        <v>140</v>
      </c>
      <c r="E7" s="2" t="s">
        <v>151</v>
      </c>
      <c r="F7" s="2" t="s">
        <v>141</v>
      </c>
      <c r="G7" s="2" t="s">
        <v>142</v>
      </c>
    </row>
    <row r="8" spans="1:8" ht="36" customHeight="1" x14ac:dyDescent="0.25">
      <c r="A8" s="3">
        <v>5</v>
      </c>
      <c r="B8" s="3" t="s">
        <v>100</v>
      </c>
      <c r="C8" s="3" t="s">
        <v>152</v>
      </c>
      <c r="D8" s="3" t="s">
        <v>140</v>
      </c>
      <c r="E8" s="3" t="s">
        <v>153</v>
      </c>
      <c r="F8" s="3" t="s">
        <v>141</v>
      </c>
      <c r="G8" s="3" t="s">
        <v>142</v>
      </c>
    </row>
    <row r="9" spans="1:8" ht="36" customHeight="1" x14ac:dyDescent="0.25">
      <c r="A9" s="2">
        <v>6</v>
      </c>
      <c r="B9" s="2" t="s">
        <v>154</v>
      </c>
      <c r="C9" s="2" t="s">
        <v>472</v>
      </c>
      <c r="D9" s="2" t="s">
        <v>140</v>
      </c>
      <c r="E9" s="2" t="s">
        <v>151</v>
      </c>
      <c r="F9" s="2" t="s">
        <v>141</v>
      </c>
      <c r="G9" s="2" t="s">
        <v>142</v>
      </c>
    </row>
    <row r="10" spans="1:8" ht="36" customHeight="1" x14ac:dyDescent="0.25">
      <c r="A10" s="3">
        <v>7</v>
      </c>
      <c r="B10" s="3" t="s">
        <v>155</v>
      </c>
      <c r="C10" s="3" t="s">
        <v>156</v>
      </c>
      <c r="D10" s="3" t="s">
        <v>140</v>
      </c>
      <c r="E10" s="3" t="s">
        <v>157</v>
      </c>
      <c r="F10" s="3" t="s">
        <v>141</v>
      </c>
      <c r="G10" s="3" t="s">
        <v>142</v>
      </c>
    </row>
    <row r="11" spans="1:8" ht="36" customHeight="1" x14ac:dyDescent="0.25">
      <c r="A11" s="2">
        <v>8</v>
      </c>
      <c r="B11" s="2" t="s">
        <v>158</v>
      </c>
      <c r="C11" s="2" t="s">
        <v>159</v>
      </c>
      <c r="D11" s="2" t="s">
        <v>140</v>
      </c>
      <c r="E11" s="2" t="s">
        <v>160</v>
      </c>
      <c r="F11" s="2" t="s">
        <v>141</v>
      </c>
      <c r="G11" s="2" t="s">
        <v>142</v>
      </c>
    </row>
    <row r="12" spans="1:8" ht="36" customHeight="1" x14ac:dyDescent="0.25">
      <c r="A12" s="3">
        <v>9</v>
      </c>
      <c r="B12" s="3" t="s">
        <v>161</v>
      </c>
      <c r="C12" s="3" t="s">
        <v>162</v>
      </c>
      <c r="D12" s="3" t="s">
        <v>163</v>
      </c>
      <c r="E12" s="3" t="s">
        <v>164</v>
      </c>
      <c r="F12" s="3" t="s">
        <v>165</v>
      </c>
      <c r="G12" s="3" t="s">
        <v>166</v>
      </c>
    </row>
    <row r="13" spans="1:8" ht="36" customHeight="1" x14ac:dyDescent="0.25">
      <c r="A13" s="2">
        <v>10</v>
      </c>
      <c r="B13" s="2" t="s">
        <v>167</v>
      </c>
      <c r="C13" s="2" t="s">
        <v>168</v>
      </c>
      <c r="D13" s="2" t="s">
        <v>163</v>
      </c>
      <c r="E13" s="2" t="s">
        <v>169</v>
      </c>
      <c r="F13" s="2" t="s">
        <v>170</v>
      </c>
      <c r="G13" s="2" t="s">
        <v>166</v>
      </c>
    </row>
    <row r="14" spans="1:8" ht="36" customHeight="1" x14ac:dyDescent="0.25">
      <c r="A14" s="3">
        <v>11</v>
      </c>
      <c r="B14" s="3" t="s">
        <v>171</v>
      </c>
      <c r="C14" s="3" t="s">
        <v>172</v>
      </c>
      <c r="D14" s="3" t="s">
        <v>163</v>
      </c>
      <c r="E14" s="3" t="s">
        <v>173</v>
      </c>
      <c r="F14" s="3" t="s">
        <v>165</v>
      </c>
      <c r="G14" s="3" t="s">
        <v>166</v>
      </c>
    </row>
    <row r="15" spans="1:8" ht="36" customHeight="1" x14ac:dyDescent="0.25">
      <c r="A15" s="2">
        <v>12</v>
      </c>
      <c r="B15" s="2" t="s">
        <v>112</v>
      </c>
      <c r="C15" s="2" t="s">
        <v>174</v>
      </c>
      <c r="D15" s="2" t="s">
        <v>140</v>
      </c>
      <c r="E15" s="2" t="s">
        <v>175</v>
      </c>
      <c r="F15" s="2" t="s">
        <v>141</v>
      </c>
      <c r="G15" s="2" t="s">
        <v>176</v>
      </c>
    </row>
    <row r="16" spans="1:8" ht="36" customHeight="1" x14ac:dyDescent="0.25">
      <c r="A16" s="3">
        <v>13</v>
      </c>
      <c r="B16" s="3" t="s">
        <v>104</v>
      </c>
      <c r="C16" s="2" t="s">
        <v>473</v>
      </c>
      <c r="D16" s="2" t="s">
        <v>140</v>
      </c>
      <c r="E16" s="2" t="s">
        <v>151</v>
      </c>
      <c r="F16" s="3" t="s">
        <v>141</v>
      </c>
      <c r="G16" s="3" t="s">
        <v>176</v>
      </c>
    </row>
    <row r="17" spans="1:7" ht="36" customHeight="1" x14ac:dyDescent="0.25">
      <c r="A17" s="2">
        <v>14</v>
      </c>
      <c r="B17" s="2" t="s">
        <v>177</v>
      </c>
      <c r="C17" s="2" t="s">
        <v>178</v>
      </c>
      <c r="D17" s="2" t="s">
        <v>179</v>
      </c>
      <c r="E17" s="2" t="s">
        <v>180</v>
      </c>
      <c r="F17" s="2" t="s">
        <v>181</v>
      </c>
      <c r="G17" s="2" t="s">
        <v>182</v>
      </c>
    </row>
    <row r="18" spans="1:7" ht="36" customHeight="1" x14ac:dyDescent="0.25">
      <c r="A18" s="3">
        <v>15</v>
      </c>
      <c r="B18" s="3" t="s">
        <v>183</v>
      </c>
      <c r="C18" s="3" t="s">
        <v>184</v>
      </c>
      <c r="D18" s="3" t="s">
        <v>179</v>
      </c>
      <c r="E18" s="3" t="s">
        <v>185</v>
      </c>
      <c r="F18" s="3" t="s">
        <v>181</v>
      </c>
      <c r="G18" s="3" t="s">
        <v>182</v>
      </c>
    </row>
    <row r="19" spans="1:7" ht="36" customHeight="1" x14ac:dyDescent="0.25">
      <c r="A19" s="2">
        <v>16</v>
      </c>
      <c r="B19" s="2" t="s">
        <v>186</v>
      </c>
      <c r="C19" s="2" t="s">
        <v>187</v>
      </c>
      <c r="D19" s="2" t="s">
        <v>179</v>
      </c>
      <c r="E19" s="2" t="s">
        <v>188</v>
      </c>
      <c r="F19" s="2" t="s">
        <v>181</v>
      </c>
      <c r="G19" s="2" t="s">
        <v>189</v>
      </c>
    </row>
    <row r="20" spans="1:7" ht="36" customHeight="1" x14ac:dyDescent="0.25">
      <c r="A20" s="3">
        <v>17</v>
      </c>
      <c r="B20" s="3" t="s">
        <v>190</v>
      </c>
      <c r="C20" s="3" t="s">
        <v>191</v>
      </c>
      <c r="D20" s="3" t="s">
        <v>140</v>
      </c>
      <c r="E20" s="3" t="s">
        <v>476</v>
      </c>
      <c r="F20" s="3" t="s">
        <v>192</v>
      </c>
      <c r="G20" s="3" t="s">
        <v>189</v>
      </c>
    </row>
    <row r="21" spans="1:7" ht="36" customHeight="1" x14ac:dyDescent="0.25">
      <c r="A21" s="2">
        <v>18</v>
      </c>
      <c r="B21" s="2" t="s">
        <v>193</v>
      </c>
      <c r="C21" s="2" t="s">
        <v>194</v>
      </c>
      <c r="D21" s="2" t="s">
        <v>195</v>
      </c>
      <c r="E21" s="2" t="s">
        <v>196</v>
      </c>
      <c r="F21" s="2" t="s">
        <v>197</v>
      </c>
      <c r="G21" s="2" t="s">
        <v>198</v>
      </c>
    </row>
    <row r="22" spans="1:7" ht="36" customHeight="1" x14ac:dyDescent="0.25">
      <c r="A22" s="3">
        <v>19</v>
      </c>
      <c r="B22" s="3" t="s">
        <v>199</v>
      </c>
      <c r="C22" s="3" t="s">
        <v>200</v>
      </c>
      <c r="D22" s="3" t="s">
        <v>195</v>
      </c>
      <c r="E22" s="3" t="s">
        <v>201</v>
      </c>
      <c r="F22" s="3" t="s">
        <v>197</v>
      </c>
      <c r="G22" s="3" t="s">
        <v>198</v>
      </c>
    </row>
    <row r="23" spans="1:7" ht="36" customHeight="1" x14ac:dyDescent="0.25">
      <c r="A23" s="2">
        <v>20</v>
      </c>
      <c r="B23" s="2" t="s">
        <v>202</v>
      </c>
      <c r="C23" s="2" t="s">
        <v>203</v>
      </c>
      <c r="D23" s="2" t="s">
        <v>195</v>
      </c>
      <c r="E23" s="2" t="s">
        <v>204</v>
      </c>
      <c r="F23" s="2" t="s">
        <v>197</v>
      </c>
      <c r="G23" s="2" t="s">
        <v>198</v>
      </c>
    </row>
    <row r="24" spans="1:7" ht="36" customHeight="1" x14ac:dyDescent="0.25">
      <c r="A24" s="3">
        <v>21</v>
      </c>
      <c r="B24" s="3" t="s">
        <v>205</v>
      </c>
      <c r="C24" s="3" t="s">
        <v>206</v>
      </c>
      <c r="D24" s="3" t="s">
        <v>195</v>
      </c>
      <c r="E24" s="3" t="s">
        <v>207</v>
      </c>
      <c r="F24" s="3" t="s">
        <v>197</v>
      </c>
      <c r="G24" s="3" t="s">
        <v>198</v>
      </c>
    </row>
    <row r="25" spans="1:7" ht="36" customHeight="1" x14ac:dyDescent="0.25">
      <c r="A25" s="2">
        <v>22</v>
      </c>
      <c r="B25" s="2" t="s">
        <v>208</v>
      </c>
      <c r="C25" s="2" t="s">
        <v>209</v>
      </c>
      <c r="D25" s="2" t="s">
        <v>195</v>
      </c>
      <c r="E25" s="2" t="s">
        <v>210</v>
      </c>
      <c r="F25" s="2" t="s">
        <v>197</v>
      </c>
      <c r="G25" s="2" t="s">
        <v>198</v>
      </c>
    </row>
    <row r="26" spans="1:7" ht="36" customHeight="1" x14ac:dyDescent="0.25">
      <c r="A26" s="3">
        <v>23</v>
      </c>
      <c r="B26" s="3" t="s">
        <v>211</v>
      </c>
      <c r="C26" s="3" t="s">
        <v>212</v>
      </c>
      <c r="D26" s="3" t="s">
        <v>195</v>
      </c>
      <c r="E26" s="3" t="s">
        <v>213</v>
      </c>
      <c r="F26" s="3" t="s">
        <v>197</v>
      </c>
      <c r="G26" s="3" t="s">
        <v>198</v>
      </c>
    </row>
    <row r="27" spans="1:7" ht="36" customHeight="1" x14ac:dyDescent="0.25">
      <c r="A27" s="2">
        <v>24</v>
      </c>
      <c r="B27" s="2" t="s">
        <v>214</v>
      </c>
      <c r="C27" s="2" t="s">
        <v>215</v>
      </c>
      <c r="D27" s="2" t="s">
        <v>195</v>
      </c>
      <c r="E27" s="2" t="s">
        <v>216</v>
      </c>
      <c r="F27" s="2" t="s">
        <v>197</v>
      </c>
      <c r="G27" s="2" t="s">
        <v>198</v>
      </c>
    </row>
    <row r="28" spans="1:7" ht="36" customHeight="1" x14ac:dyDescent="0.25">
      <c r="A28" s="3">
        <v>25</v>
      </c>
      <c r="B28" s="3" t="s">
        <v>217</v>
      </c>
      <c r="C28" s="3" t="s">
        <v>218</v>
      </c>
      <c r="D28" s="3" t="s">
        <v>140</v>
      </c>
      <c r="E28" s="3" t="s">
        <v>219</v>
      </c>
      <c r="F28" s="3" t="s">
        <v>192</v>
      </c>
      <c r="G28" s="3" t="s">
        <v>198</v>
      </c>
    </row>
    <row r="29" spans="1:7" ht="36" customHeight="1" x14ac:dyDescent="0.25">
      <c r="A29" s="2">
        <v>26</v>
      </c>
      <c r="B29" s="2" t="s">
        <v>220</v>
      </c>
      <c r="C29" s="2" t="s">
        <v>221</v>
      </c>
      <c r="D29" s="2" t="s">
        <v>140</v>
      </c>
      <c r="E29" s="2" t="s">
        <v>222</v>
      </c>
      <c r="F29" s="2" t="s">
        <v>141</v>
      </c>
      <c r="G29" s="2" t="s">
        <v>223</v>
      </c>
    </row>
    <row r="30" spans="1:7" ht="36" customHeight="1" x14ac:dyDescent="0.25">
      <c r="A30" s="3">
        <v>27</v>
      </c>
      <c r="B30" s="3" t="s">
        <v>224</v>
      </c>
      <c r="C30" s="3" t="s">
        <v>475</v>
      </c>
      <c r="D30" s="3" t="s">
        <v>140</v>
      </c>
      <c r="E30" s="3" t="s">
        <v>225</v>
      </c>
      <c r="F30" s="3" t="s">
        <v>141</v>
      </c>
      <c r="G30" s="3" t="s">
        <v>223</v>
      </c>
    </row>
    <row r="31" spans="1:7" ht="36" customHeight="1" x14ac:dyDescent="0.25">
      <c r="A31" s="2">
        <v>28</v>
      </c>
      <c r="B31" s="2" t="s">
        <v>226</v>
      </c>
      <c r="C31" s="2" t="s">
        <v>227</v>
      </c>
      <c r="D31" s="2" t="s">
        <v>140</v>
      </c>
      <c r="E31" s="2" t="s">
        <v>228</v>
      </c>
      <c r="F31" s="2" t="s">
        <v>141</v>
      </c>
      <c r="G31" s="2" t="s">
        <v>229</v>
      </c>
    </row>
    <row r="32" spans="1:7" ht="36" customHeight="1" x14ac:dyDescent="0.25">
      <c r="A32" s="3">
        <v>29</v>
      </c>
      <c r="B32" s="3" t="s">
        <v>230</v>
      </c>
      <c r="C32" s="3" t="s">
        <v>231</v>
      </c>
      <c r="D32" s="3" t="s">
        <v>163</v>
      </c>
      <c r="E32" s="3" t="s">
        <v>232</v>
      </c>
      <c r="F32" s="3" t="s">
        <v>170</v>
      </c>
      <c r="G32" s="3" t="s">
        <v>229</v>
      </c>
    </row>
    <row r="33" spans="1:7" ht="36" customHeight="1" x14ac:dyDescent="0.25">
      <c r="A33" s="2">
        <v>30</v>
      </c>
      <c r="B33" s="2" t="s">
        <v>233</v>
      </c>
      <c r="C33" s="2" t="s">
        <v>234</v>
      </c>
      <c r="D33" s="2" t="s">
        <v>140</v>
      </c>
      <c r="E33" s="2" t="s">
        <v>474</v>
      </c>
      <c r="F33" s="2" t="s">
        <v>141</v>
      </c>
      <c r="G33" s="2" t="s">
        <v>229</v>
      </c>
    </row>
    <row r="34" spans="1:7" ht="36" customHeight="1" x14ac:dyDescent="0.25">
      <c r="A34" s="3">
        <v>31</v>
      </c>
      <c r="B34" s="3" t="s">
        <v>235</v>
      </c>
      <c r="C34" s="3" t="s">
        <v>236</v>
      </c>
      <c r="D34" s="3" t="s">
        <v>140</v>
      </c>
      <c r="E34" s="3" t="s">
        <v>237</v>
      </c>
      <c r="F34" s="3" t="s">
        <v>141</v>
      </c>
      <c r="G34" s="3" t="s">
        <v>238</v>
      </c>
    </row>
    <row r="35" spans="1:7" ht="36" customHeight="1" x14ac:dyDescent="0.25">
      <c r="A35" s="2">
        <v>32</v>
      </c>
      <c r="B35" s="2" t="s">
        <v>239</v>
      </c>
      <c r="C35" s="2" t="s">
        <v>240</v>
      </c>
      <c r="D35" s="2" t="s">
        <v>140</v>
      </c>
      <c r="E35" s="2" t="s">
        <v>241</v>
      </c>
      <c r="F35" s="2" t="s">
        <v>141</v>
      </c>
      <c r="G35" s="2" t="s">
        <v>238</v>
      </c>
    </row>
    <row r="36" spans="1:7" ht="36" customHeight="1" x14ac:dyDescent="0.25">
      <c r="A36" s="3">
        <v>33</v>
      </c>
      <c r="B36" s="3" t="s">
        <v>242</v>
      </c>
      <c r="C36" s="3" t="s">
        <v>243</v>
      </c>
      <c r="D36" s="3" t="s">
        <v>163</v>
      </c>
      <c r="E36" s="3" t="s">
        <v>244</v>
      </c>
      <c r="F36" s="3" t="s">
        <v>170</v>
      </c>
      <c r="G36" s="3" t="s">
        <v>238</v>
      </c>
    </row>
    <row r="37" spans="1:7" ht="36" customHeight="1" x14ac:dyDescent="0.25">
      <c r="A37" s="2">
        <v>34</v>
      </c>
      <c r="B37" s="2" t="s">
        <v>245</v>
      </c>
      <c r="C37" s="2" t="s">
        <v>246</v>
      </c>
      <c r="D37" s="2" t="s">
        <v>179</v>
      </c>
      <c r="E37" s="2" t="s">
        <v>247</v>
      </c>
      <c r="F37" s="2" t="s">
        <v>248</v>
      </c>
      <c r="G37" s="2" t="s">
        <v>182</v>
      </c>
    </row>
    <row r="38" spans="1:7" ht="36" customHeight="1" x14ac:dyDescent="0.25">
      <c r="A38" s="3">
        <v>35</v>
      </c>
      <c r="B38" s="3" t="s">
        <v>249</v>
      </c>
      <c r="C38" s="3" t="s">
        <v>250</v>
      </c>
      <c r="D38" s="3" t="s">
        <v>140</v>
      </c>
      <c r="E38" s="3" t="s">
        <v>477</v>
      </c>
      <c r="F38" s="3" t="s">
        <v>141</v>
      </c>
      <c r="G38" s="2" t="s">
        <v>182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3A36-82C8-41D3-AF40-8312EB2B8CA2}">
  <sheetPr>
    <tabColor rgb="FF0077B4"/>
  </sheetPr>
  <dimension ref="A1:H17"/>
  <sheetViews>
    <sheetView zoomScale="70" zoomScaleNormal="70" workbookViewId="0">
      <pane ySplit="3" topLeftCell="A4" activePane="bottomLeft" state="frozen"/>
      <selection pane="bottomLeft" activeCell="F13" sqref="F13"/>
    </sheetView>
  </sheetViews>
  <sheetFormatPr defaultRowHeight="15.75" x14ac:dyDescent="0.25"/>
  <cols>
    <col min="1" max="1" width="7.625" customWidth="1"/>
    <col min="2" max="2" width="26.625" customWidth="1"/>
    <col min="3" max="3" width="10.625" customWidth="1"/>
    <col min="4" max="4" width="44.625" customWidth="1"/>
    <col min="5" max="5" width="32.625" customWidth="1"/>
    <col min="6" max="6" width="36.625" customWidth="1"/>
    <col min="7" max="7" width="28.625" customWidth="1"/>
  </cols>
  <sheetData>
    <row r="1" spans="1:8" ht="30" customHeight="1" x14ac:dyDescent="0.3">
      <c r="A1" s="6" t="s">
        <v>251</v>
      </c>
      <c r="B1" s="7"/>
      <c r="C1" s="7"/>
      <c r="D1" s="7"/>
      <c r="E1" s="7"/>
      <c r="F1" s="7"/>
      <c r="G1" s="7"/>
      <c r="H1" s="7"/>
    </row>
    <row r="2" spans="1:8" ht="15.95" customHeight="1" x14ac:dyDescent="0.25">
      <c r="A2" s="8" t="s">
        <v>1</v>
      </c>
      <c r="B2" s="8"/>
      <c r="C2" s="8"/>
      <c r="D2" s="8"/>
      <c r="E2" s="8"/>
      <c r="F2" s="8"/>
      <c r="G2" s="8"/>
      <c r="H2" s="8"/>
    </row>
    <row r="3" spans="1:8" ht="20.100000000000001" customHeight="1" x14ac:dyDescent="0.25">
      <c r="A3" s="1" t="s">
        <v>252</v>
      </c>
      <c r="B3" s="1" t="s">
        <v>253</v>
      </c>
      <c r="C3" s="1" t="s">
        <v>254</v>
      </c>
      <c r="D3" s="1" t="s">
        <v>62</v>
      </c>
      <c r="E3" s="1" t="s">
        <v>255</v>
      </c>
      <c r="F3" s="1" t="s">
        <v>256</v>
      </c>
      <c r="G3" s="1" t="s">
        <v>257</v>
      </c>
    </row>
    <row r="4" spans="1:8" ht="36" customHeight="1" x14ac:dyDescent="0.25">
      <c r="A4" s="3">
        <v>1</v>
      </c>
      <c r="B4" s="3" t="s">
        <v>258</v>
      </c>
      <c r="C4" s="5">
        <v>0.03</v>
      </c>
      <c r="D4" s="3" t="s">
        <v>259</v>
      </c>
      <c r="E4" s="3" t="s">
        <v>260</v>
      </c>
      <c r="F4" s="3" t="s">
        <v>261</v>
      </c>
      <c r="G4" s="3" t="s">
        <v>262</v>
      </c>
    </row>
    <row r="5" spans="1:8" ht="36" customHeight="1" x14ac:dyDescent="0.25">
      <c r="A5" s="2">
        <v>2</v>
      </c>
      <c r="B5" s="2" t="s">
        <v>263</v>
      </c>
      <c r="C5" s="2" t="s">
        <v>264</v>
      </c>
      <c r="D5" s="2" t="s">
        <v>265</v>
      </c>
      <c r="E5" s="2" t="s">
        <v>266</v>
      </c>
      <c r="F5" s="2" t="s">
        <v>267</v>
      </c>
      <c r="G5" s="2" t="s">
        <v>268</v>
      </c>
    </row>
    <row r="6" spans="1:8" ht="36" customHeight="1" x14ac:dyDescent="0.25">
      <c r="A6" s="3">
        <v>3</v>
      </c>
      <c r="B6" s="3" t="s">
        <v>269</v>
      </c>
      <c r="C6" s="5">
        <v>0.18</v>
      </c>
      <c r="D6" s="3" t="s">
        <v>270</v>
      </c>
      <c r="E6" s="3" t="s">
        <v>271</v>
      </c>
      <c r="F6" s="3" t="s">
        <v>272</v>
      </c>
      <c r="G6" s="3" t="s">
        <v>273</v>
      </c>
    </row>
    <row r="7" spans="1:8" ht="36" customHeight="1" x14ac:dyDescent="0.25">
      <c r="A7" s="2">
        <v>4</v>
      </c>
      <c r="B7" s="2" t="s">
        <v>274</v>
      </c>
      <c r="C7" s="4">
        <v>0.25</v>
      </c>
      <c r="D7" s="2" t="s">
        <v>275</v>
      </c>
      <c r="E7" s="2" t="s">
        <v>276</v>
      </c>
      <c r="F7" s="2" t="s">
        <v>277</v>
      </c>
      <c r="G7" s="2" t="s">
        <v>278</v>
      </c>
    </row>
    <row r="8" spans="1:8" ht="36" customHeight="1" x14ac:dyDescent="0.25">
      <c r="A8" s="3">
        <v>5</v>
      </c>
      <c r="B8" s="3" t="s">
        <v>279</v>
      </c>
      <c r="C8" s="5">
        <v>0.35</v>
      </c>
      <c r="D8" s="3" t="s">
        <v>280</v>
      </c>
      <c r="E8" s="3" t="s">
        <v>281</v>
      </c>
      <c r="F8" s="3" t="s">
        <v>282</v>
      </c>
      <c r="G8" s="3" t="s">
        <v>278</v>
      </c>
    </row>
    <row r="9" spans="1:8" ht="36" customHeight="1" x14ac:dyDescent="0.25">
      <c r="A9" s="2">
        <v>6</v>
      </c>
      <c r="B9" s="2" t="s">
        <v>283</v>
      </c>
      <c r="C9" s="4">
        <v>0.42</v>
      </c>
      <c r="D9" s="2" t="s">
        <v>284</v>
      </c>
      <c r="E9" s="2" t="s">
        <v>276</v>
      </c>
      <c r="F9" s="2" t="s">
        <v>277</v>
      </c>
      <c r="G9" s="2" t="s">
        <v>278</v>
      </c>
    </row>
    <row r="10" spans="1:8" ht="36" customHeight="1" x14ac:dyDescent="0.25">
      <c r="A10" s="3">
        <v>7</v>
      </c>
      <c r="B10" s="3" t="s">
        <v>285</v>
      </c>
      <c r="C10" s="5">
        <v>0.48</v>
      </c>
      <c r="D10" s="3" t="s">
        <v>286</v>
      </c>
      <c r="E10" s="3" t="s">
        <v>281</v>
      </c>
      <c r="F10" s="3" t="s">
        <v>287</v>
      </c>
      <c r="G10" s="3" t="s">
        <v>278</v>
      </c>
    </row>
    <row r="11" spans="1:8" ht="36" customHeight="1" x14ac:dyDescent="0.25">
      <c r="A11" s="2">
        <v>8</v>
      </c>
      <c r="B11" s="2" t="s">
        <v>288</v>
      </c>
      <c r="C11" s="4">
        <v>0.55000000000000004</v>
      </c>
      <c r="D11" s="2" t="s">
        <v>289</v>
      </c>
      <c r="E11" s="2" t="s">
        <v>290</v>
      </c>
      <c r="F11" s="2" t="s">
        <v>291</v>
      </c>
      <c r="G11" s="2" t="s">
        <v>292</v>
      </c>
    </row>
    <row r="12" spans="1:8" ht="36" customHeight="1" x14ac:dyDescent="0.25">
      <c r="A12" s="3">
        <v>9</v>
      </c>
      <c r="B12" s="3" t="s">
        <v>293</v>
      </c>
      <c r="C12" s="5">
        <v>0.57999999999999996</v>
      </c>
      <c r="D12" s="3" t="s">
        <v>294</v>
      </c>
      <c r="E12" s="3" t="s">
        <v>295</v>
      </c>
      <c r="F12" s="3" t="s">
        <v>296</v>
      </c>
      <c r="G12" s="3" t="s">
        <v>292</v>
      </c>
    </row>
    <row r="13" spans="1:8" ht="36" customHeight="1" x14ac:dyDescent="0.25">
      <c r="A13" s="2">
        <v>10</v>
      </c>
      <c r="B13" s="2" t="s">
        <v>297</v>
      </c>
      <c r="C13" s="2" t="s">
        <v>298</v>
      </c>
      <c r="D13" s="2" t="s">
        <v>299</v>
      </c>
      <c r="E13" s="2" t="s">
        <v>300</v>
      </c>
      <c r="F13" s="2" t="s">
        <v>301</v>
      </c>
      <c r="G13" s="2" t="s">
        <v>292</v>
      </c>
    </row>
    <row r="14" spans="1:8" ht="36" customHeight="1" x14ac:dyDescent="0.25">
      <c r="A14" s="3">
        <v>11</v>
      </c>
      <c r="B14" s="3" t="s">
        <v>302</v>
      </c>
      <c r="C14" s="5">
        <v>0.9</v>
      </c>
      <c r="D14" s="3" t="s">
        <v>303</v>
      </c>
      <c r="E14" s="3" t="s">
        <v>301</v>
      </c>
      <c r="F14" s="3" t="s">
        <v>304</v>
      </c>
      <c r="G14" s="3" t="s">
        <v>292</v>
      </c>
    </row>
    <row r="15" spans="1:8" ht="36" customHeight="1" x14ac:dyDescent="0.25">
      <c r="A15" s="2">
        <v>12</v>
      </c>
      <c r="B15" s="2" t="s">
        <v>305</v>
      </c>
      <c r="C15" s="4">
        <v>0.95</v>
      </c>
      <c r="D15" s="2" t="s">
        <v>306</v>
      </c>
      <c r="E15" s="2" t="s">
        <v>307</v>
      </c>
      <c r="F15" s="2" t="s">
        <v>308</v>
      </c>
      <c r="G15" s="2" t="s">
        <v>309</v>
      </c>
    </row>
    <row r="16" spans="1:8" ht="36" customHeight="1" x14ac:dyDescent="0.25">
      <c r="A16" s="3">
        <v>13</v>
      </c>
      <c r="B16" s="3" t="s">
        <v>310</v>
      </c>
      <c r="C16" s="5">
        <v>0.98</v>
      </c>
      <c r="D16" s="3" t="s">
        <v>311</v>
      </c>
      <c r="E16" s="3" t="s">
        <v>312</v>
      </c>
      <c r="F16" s="3" t="s">
        <v>313</v>
      </c>
      <c r="G16" s="3" t="s">
        <v>314</v>
      </c>
    </row>
    <row r="17" spans="1:7" ht="36" customHeight="1" x14ac:dyDescent="0.25">
      <c r="A17" s="2">
        <v>14</v>
      </c>
      <c r="B17" s="2" t="s">
        <v>315</v>
      </c>
      <c r="C17" s="4">
        <v>1</v>
      </c>
      <c r="D17" s="2" t="s">
        <v>316</v>
      </c>
      <c r="E17" s="2" t="s">
        <v>55</v>
      </c>
      <c r="F17" s="2" t="s">
        <v>317</v>
      </c>
      <c r="G17" s="2" t="s">
        <v>262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3A21C-54A3-45C1-8AFA-ABDA2B8A0F45}">
  <sheetPr>
    <tabColor rgb="FF548235"/>
  </sheetPr>
  <dimension ref="A1:H29"/>
  <sheetViews>
    <sheetView zoomScale="55" zoomScaleNormal="55" workbookViewId="0">
      <pane ySplit="3" topLeftCell="A12" activePane="bottomLeft" state="frozen"/>
      <selection pane="bottomLeft" activeCell="F12" sqref="F12"/>
    </sheetView>
  </sheetViews>
  <sheetFormatPr defaultRowHeight="15.75" x14ac:dyDescent="0.25"/>
  <cols>
    <col min="1" max="1" width="24.25" bestFit="1" customWidth="1"/>
    <col min="2" max="2" width="40.125" bestFit="1" customWidth="1"/>
    <col min="3" max="3" width="38.25" bestFit="1" customWidth="1"/>
    <col min="4" max="4" width="20.75" bestFit="1" customWidth="1"/>
    <col min="5" max="5" width="36.625" customWidth="1"/>
    <col min="6" max="6" width="44.125" bestFit="1" customWidth="1"/>
    <col min="7" max="7" width="5.625" customWidth="1"/>
  </cols>
  <sheetData>
    <row r="1" spans="1:8" ht="30" customHeight="1" x14ac:dyDescent="0.3">
      <c r="A1" s="6" t="s">
        <v>318</v>
      </c>
      <c r="B1" s="7"/>
      <c r="C1" s="7"/>
      <c r="D1" s="7"/>
      <c r="E1" s="7"/>
      <c r="F1" s="7"/>
      <c r="G1" s="7"/>
      <c r="H1" s="7"/>
    </row>
    <row r="2" spans="1:8" ht="15.95" customHeight="1" x14ac:dyDescent="0.25">
      <c r="A2" s="8" t="s">
        <v>319</v>
      </c>
      <c r="B2" s="8"/>
      <c r="C2" s="8"/>
      <c r="D2" s="8"/>
      <c r="E2" s="8"/>
      <c r="F2" s="8"/>
      <c r="G2" s="8"/>
      <c r="H2" s="8"/>
    </row>
    <row r="4" spans="1:8" ht="21.95" customHeight="1" x14ac:dyDescent="0.25">
      <c r="A4" s="9" t="s">
        <v>320</v>
      </c>
      <c r="B4" s="9"/>
      <c r="C4" s="9"/>
      <c r="D4" s="9"/>
      <c r="E4" s="9"/>
      <c r="F4" s="9"/>
      <c r="G4" s="9"/>
    </row>
    <row r="5" spans="1:8" ht="20.100000000000001" customHeight="1" x14ac:dyDescent="0.25">
      <c r="A5" s="1" t="s">
        <v>321</v>
      </c>
      <c r="B5" s="1" t="s">
        <v>322</v>
      </c>
      <c r="C5" s="1" t="s">
        <v>323</v>
      </c>
      <c r="D5" s="1" t="s">
        <v>324</v>
      </c>
      <c r="E5" s="1" t="s">
        <v>325</v>
      </c>
      <c r="F5" s="1" t="s">
        <v>326</v>
      </c>
      <c r="G5" s="1"/>
    </row>
    <row r="6" spans="1:8" ht="36" customHeight="1" x14ac:dyDescent="0.25">
      <c r="A6" s="3" t="s">
        <v>327</v>
      </c>
      <c r="B6" s="3">
        <f xml:space="preserve"> 1</f>
        <v>1</v>
      </c>
      <c r="C6" s="3">
        <f xml:space="preserve"> 0</f>
        <v>0</v>
      </c>
      <c r="D6" s="3" t="s">
        <v>328</v>
      </c>
      <c r="E6" s="3" t="s">
        <v>329</v>
      </c>
      <c r="F6" s="3" t="s">
        <v>330</v>
      </c>
      <c r="G6" s="3"/>
    </row>
    <row r="7" spans="1:8" ht="36" customHeight="1" x14ac:dyDescent="0.25">
      <c r="A7" s="2" t="s">
        <v>331</v>
      </c>
      <c r="B7" s="2">
        <f xml:space="preserve"> 1</f>
        <v>1</v>
      </c>
      <c r="C7" s="2" t="s">
        <v>332</v>
      </c>
      <c r="D7" s="2" t="s">
        <v>328</v>
      </c>
      <c r="E7" s="2" t="s">
        <v>333</v>
      </c>
      <c r="F7" s="2" t="s">
        <v>334</v>
      </c>
      <c r="G7" s="2"/>
    </row>
    <row r="8" spans="1:8" ht="36" customHeight="1" x14ac:dyDescent="0.25">
      <c r="A8" s="3" t="s">
        <v>335</v>
      </c>
      <c r="B8" s="3" t="s">
        <v>336</v>
      </c>
      <c r="C8" s="3" t="s">
        <v>328</v>
      </c>
      <c r="D8" s="3" t="s">
        <v>337</v>
      </c>
      <c r="E8" s="3" t="s">
        <v>338</v>
      </c>
      <c r="F8" s="3" t="s">
        <v>468</v>
      </c>
      <c r="G8" s="3"/>
    </row>
    <row r="9" spans="1:8" ht="36" customHeight="1" x14ac:dyDescent="0.25">
      <c r="A9" s="2" t="s">
        <v>339</v>
      </c>
      <c r="B9" s="2" t="s">
        <v>336</v>
      </c>
      <c r="C9" s="2" t="s">
        <v>328</v>
      </c>
      <c r="D9" s="2" t="s">
        <v>340</v>
      </c>
      <c r="E9" s="2" t="s">
        <v>341</v>
      </c>
      <c r="F9" s="2" t="s">
        <v>342</v>
      </c>
      <c r="G9" s="2"/>
    </row>
    <row r="10" spans="1:8" ht="36" customHeight="1" x14ac:dyDescent="0.25">
      <c r="A10" s="2" t="s">
        <v>464</v>
      </c>
      <c r="B10" s="2" t="s">
        <v>459</v>
      </c>
      <c r="C10" s="2" t="s">
        <v>328</v>
      </c>
      <c r="D10" s="2" t="s">
        <v>465</v>
      </c>
      <c r="E10" s="2" t="s">
        <v>466</v>
      </c>
      <c r="F10" s="2" t="s">
        <v>467</v>
      </c>
      <c r="G10" s="2"/>
    </row>
    <row r="11" spans="1:8" ht="36" customHeight="1" x14ac:dyDescent="0.25">
      <c r="A11" s="3" t="s">
        <v>343</v>
      </c>
      <c r="B11" s="3" t="s">
        <v>459</v>
      </c>
      <c r="C11" s="3" t="str">
        <f>"&lt;B10"</f>
        <v>&lt;B10</v>
      </c>
      <c r="D11" s="3" t="s">
        <v>461</v>
      </c>
      <c r="E11" s="3" t="s">
        <v>460</v>
      </c>
      <c r="F11" s="3" t="s">
        <v>344</v>
      </c>
      <c r="G11" s="3"/>
    </row>
    <row r="12" spans="1:8" ht="36" customHeight="1" x14ac:dyDescent="0.25">
      <c r="A12" s="3" t="s">
        <v>343</v>
      </c>
      <c r="B12" s="3" t="s">
        <v>459</v>
      </c>
      <c r="C12" s="3" t="s">
        <v>462</v>
      </c>
      <c r="D12" s="3" t="s">
        <v>463</v>
      </c>
      <c r="E12" s="3" t="s">
        <v>463</v>
      </c>
      <c r="F12" s="3" t="s">
        <v>478</v>
      </c>
      <c r="G12" s="3"/>
    </row>
    <row r="13" spans="1:8" ht="36" customHeight="1" x14ac:dyDescent="0.25">
      <c r="A13" s="2" t="s">
        <v>345</v>
      </c>
      <c r="B13" s="2" t="s">
        <v>55</v>
      </c>
      <c r="C13" s="2" t="s">
        <v>55</v>
      </c>
      <c r="D13" s="2" t="s">
        <v>55</v>
      </c>
      <c r="E13" s="2" t="s">
        <v>346</v>
      </c>
      <c r="F13" s="2" t="s">
        <v>347</v>
      </c>
      <c r="G13" s="2"/>
    </row>
    <row r="15" spans="1:8" ht="21.95" customHeight="1" x14ac:dyDescent="0.25">
      <c r="A15" s="9" t="s">
        <v>348</v>
      </c>
      <c r="B15" s="9"/>
      <c r="C15" s="9"/>
      <c r="D15" s="9"/>
      <c r="E15" s="9"/>
      <c r="F15" s="9"/>
      <c r="G15" s="9"/>
    </row>
    <row r="16" spans="1:8" ht="20.100000000000001" customHeight="1" x14ac:dyDescent="0.25">
      <c r="A16" s="1" t="s">
        <v>349</v>
      </c>
      <c r="B16" s="1" t="s">
        <v>321</v>
      </c>
      <c r="C16" s="1" t="s">
        <v>350</v>
      </c>
      <c r="D16" s="1" t="s">
        <v>62</v>
      </c>
      <c r="E16" s="1" t="s">
        <v>351</v>
      </c>
      <c r="F16" s="1" t="s">
        <v>326</v>
      </c>
      <c r="G16" s="1"/>
    </row>
    <row r="17" spans="1:7" ht="36" customHeight="1" x14ac:dyDescent="0.25">
      <c r="A17" s="2">
        <v>1</v>
      </c>
      <c r="B17" s="2" t="s">
        <v>352</v>
      </c>
      <c r="C17" s="2" t="s">
        <v>353</v>
      </c>
      <c r="D17" s="2" t="s">
        <v>354</v>
      </c>
      <c r="E17" s="2" t="s">
        <v>355</v>
      </c>
      <c r="F17" s="2" t="s">
        <v>356</v>
      </c>
      <c r="G17" s="2"/>
    </row>
    <row r="18" spans="1:7" ht="36" customHeight="1" x14ac:dyDescent="0.25">
      <c r="A18" s="3">
        <v>2</v>
      </c>
      <c r="B18" s="3" t="s">
        <v>357</v>
      </c>
      <c r="C18" s="3" t="s">
        <v>358</v>
      </c>
      <c r="D18" s="3" t="s">
        <v>359</v>
      </c>
      <c r="E18" s="3" t="s">
        <v>360</v>
      </c>
      <c r="F18" s="3" t="s">
        <v>361</v>
      </c>
      <c r="G18" s="3"/>
    </row>
    <row r="19" spans="1:7" ht="36" customHeight="1" x14ac:dyDescent="0.25">
      <c r="A19" s="2">
        <v>3</v>
      </c>
      <c r="B19" s="2" t="s">
        <v>362</v>
      </c>
      <c r="C19" s="2" t="s">
        <v>363</v>
      </c>
      <c r="D19" s="2" t="s">
        <v>364</v>
      </c>
      <c r="E19" s="2" t="s">
        <v>365</v>
      </c>
      <c r="F19" s="2" t="s">
        <v>366</v>
      </c>
      <c r="G19" s="2"/>
    </row>
    <row r="20" spans="1:7" ht="36" customHeight="1" x14ac:dyDescent="0.25">
      <c r="A20" s="3">
        <v>4</v>
      </c>
      <c r="B20" s="3" t="s">
        <v>367</v>
      </c>
      <c r="C20" s="3" t="s">
        <v>368</v>
      </c>
      <c r="D20" s="3" t="s">
        <v>369</v>
      </c>
      <c r="E20" s="3" t="s">
        <v>370</v>
      </c>
      <c r="F20" s="3" t="s">
        <v>371</v>
      </c>
      <c r="G20" s="3"/>
    </row>
    <row r="21" spans="1:7" ht="36" customHeight="1" x14ac:dyDescent="0.25">
      <c r="A21" s="3"/>
      <c r="B21" s="3" t="s">
        <v>469</v>
      </c>
      <c r="C21" s="3" t="s">
        <v>470</v>
      </c>
      <c r="D21" s="3" t="s">
        <v>344</v>
      </c>
      <c r="E21" s="3" t="s">
        <v>469</v>
      </c>
      <c r="F21" s="2" t="s">
        <v>356</v>
      </c>
      <c r="G21" s="3"/>
    </row>
    <row r="23" spans="1:7" ht="21.95" customHeight="1" x14ac:dyDescent="0.25">
      <c r="A23" s="9" t="s">
        <v>372</v>
      </c>
      <c r="B23" s="9"/>
      <c r="C23" s="9"/>
      <c r="D23" s="9"/>
      <c r="E23" s="9"/>
      <c r="F23" s="9"/>
      <c r="G23" s="9"/>
    </row>
    <row r="24" spans="1:7" ht="20.100000000000001" customHeight="1" x14ac:dyDescent="0.25">
      <c r="A24" s="1" t="s">
        <v>373</v>
      </c>
      <c r="B24" s="1" t="s">
        <v>351</v>
      </c>
      <c r="C24" s="1" t="s">
        <v>374</v>
      </c>
      <c r="D24" s="1" t="s">
        <v>375</v>
      </c>
      <c r="E24" s="1" t="s">
        <v>326</v>
      </c>
      <c r="F24" s="1"/>
      <c r="G24" s="1"/>
    </row>
    <row r="25" spans="1:7" ht="36" customHeight="1" x14ac:dyDescent="0.25">
      <c r="A25" s="3" t="s">
        <v>376</v>
      </c>
      <c r="B25" s="3" t="s">
        <v>377</v>
      </c>
      <c r="C25" s="3" t="s">
        <v>378</v>
      </c>
      <c r="D25" s="3" t="s">
        <v>379</v>
      </c>
      <c r="E25" s="3" t="s">
        <v>380</v>
      </c>
      <c r="F25" s="3"/>
      <c r="G25" s="3"/>
    </row>
    <row r="26" spans="1:7" ht="36" customHeight="1" x14ac:dyDescent="0.25">
      <c r="A26" s="2" t="s">
        <v>381</v>
      </c>
      <c r="B26" s="2" t="s">
        <v>382</v>
      </c>
      <c r="C26" s="2" t="s">
        <v>383</v>
      </c>
      <c r="D26" s="2" t="s">
        <v>379</v>
      </c>
      <c r="E26" s="2" t="s">
        <v>384</v>
      </c>
      <c r="F26" s="2"/>
      <c r="G26" s="2"/>
    </row>
    <row r="27" spans="1:7" ht="36" customHeight="1" x14ac:dyDescent="0.25">
      <c r="A27" s="3" t="s">
        <v>385</v>
      </c>
      <c r="B27" s="3" t="s">
        <v>386</v>
      </c>
      <c r="C27" s="3" t="s">
        <v>387</v>
      </c>
      <c r="D27" s="3" t="s">
        <v>379</v>
      </c>
      <c r="E27" s="3" t="s">
        <v>388</v>
      </c>
      <c r="F27" s="3"/>
      <c r="G27" s="3"/>
    </row>
    <row r="28" spans="1:7" ht="36" customHeight="1" x14ac:dyDescent="0.25">
      <c r="A28" s="2" t="s">
        <v>389</v>
      </c>
      <c r="B28" s="2" t="s">
        <v>390</v>
      </c>
      <c r="C28" s="2" t="s">
        <v>391</v>
      </c>
      <c r="D28" s="2" t="s">
        <v>379</v>
      </c>
      <c r="E28" s="2" t="s">
        <v>392</v>
      </c>
      <c r="F28" s="2"/>
      <c r="G28" s="2"/>
    </row>
    <row r="29" spans="1:7" ht="36" customHeight="1" x14ac:dyDescent="0.25">
      <c r="A29" s="3" t="s">
        <v>393</v>
      </c>
      <c r="B29" s="3" t="s">
        <v>394</v>
      </c>
      <c r="C29" s="3" t="s">
        <v>395</v>
      </c>
      <c r="D29" s="3" t="s">
        <v>396</v>
      </c>
      <c r="E29" s="3" t="s">
        <v>397</v>
      </c>
      <c r="F29" s="3"/>
      <c r="G29" s="3"/>
    </row>
  </sheetData>
  <mergeCells count="5">
    <mergeCell ref="A1:H1"/>
    <mergeCell ref="A2:H2"/>
    <mergeCell ref="A4:G4"/>
    <mergeCell ref="A15:G15"/>
    <mergeCell ref="A23:G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FE4D-7ADB-41AD-A43D-951D847258F9}">
  <sheetPr>
    <tabColor rgb="FF7851A9"/>
  </sheetPr>
  <dimension ref="A1:H14"/>
  <sheetViews>
    <sheetView workbookViewId="0">
      <pane ySplit="3" topLeftCell="A4" activePane="bottomLeft" state="frozen"/>
      <selection pane="bottomLeft" activeCell="A4" sqref="A4"/>
    </sheetView>
  </sheetViews>
  <sheetFormatPr defaultRowHeight="15.75" x14ac:dyDescent="0.25"/>
  <cols>
    <col min="1" max="1" width="24.625" customWidth="1"/>
    <col min="2" max="2" width="40.625" customWidth="1"/>
    <col min="3" max="3" width="44.625" customWidth="1"/>
    <col min="4" max="5" width="22.625" customWidth="1"/>
    <col min="6" max="6" width="32.625" customWidth="1"/>
  </cols>
  <sheetData>
    <row r="1" spans="1:8" ht="30" customHeight="1" x14ac:dyDescent="0.3">
      <c r="A1" s="6" t="s">
        <v>398</v>
      </c>
      <c r="B1" s="7"/>
      <c r="C1" s="7"/>
      <c r="D1" s="7"/>
      <c r="E1" s="7"/>
      <c r="F1" s="7"/>
      <c r="G1" s="7"/>
      <c r="H1" s="7"/>
    </row>
    <row r="2" spans="1:8" ht="15.95" customHeight="1" x14ac:dyDescent="0.25">
      <c r="A2" s="8" t="s">
        <v>319</v>
      </c>
      <c r="B2" s="8"/>
      <c r="C2" s="8"/>
      <c r="D2" s="8"/>
      <c r="E2" s="8"/>
      <c r="F2" s="8"/>
      <c r="G2" s="8"/>
      <c r="H2" s="8"/>
    </row>
    <row r="3" spans="1:8" ht="20.100000000000001" customHeight="1" x14ac:dyDescent="0.25">
      <c r="A3" s="1" t="s">
        <v>399</v>
      </c>
      <c r="B3" s="1" t="s">
        <v>400</v>
      </c>
      <c r="C3" s="1" t="s">
        <v>401</v>
      </c>
      <c r="D3" s="1" t="s">
        <v>402</v>
      </c>
      <c r="E3" s="1" t="s">
        <v>403</v>
      </c>
      <c r="F3" s="1" t="s">
        <v>326</v>
      </c>
    </row>
    <row r="4" spans="1:8" ht="36" customHeight="1" x14ac:dyDescent="0.25">
      <c r="A4" s="3" t="s">
        <v>278</v>
      </c>
      <c r="B4" s="3" t="s">
        <v>404</v>
      </c>
      <c r="C4" s="3" t="s">
        <v>405</v>
      </c>
      <c r="D4" s="3" t="s">
        <v>406</v>
      </c>
      <c r="E4" s="3" t="s">
        <v>407</v>
      </c>
      <c r="F4" s="3" t="s">
        <v>408</v>
      </c>
    </row>
    <row r="5" spans="1:8" ht="36" customHeight="1" x14ac:dyDescent="0.25">
      <c r="A5" s="2" t="s">
        <v>409</v>
      </c>
      <c r="B5" s="2" t="s">
        <v>410</v>
      </c>
      <c r="C5" s="2" t="s">
        <v>411</v>
      </c>
      <c r="D5" s="2" t="s">
        <v>412</v>
      </c>
      <c r="E5" s="2" t="s">
        <v>413</v>
      </c>
      <c r="F5" s="2" t="s">
        <v>414</v>
      </c>
    </row>
    <row r="6" spans="1:8" ht="36" customHeight="1" x14ac:dyDescent="0.25">
      <c r="A6" s="3" t="s">
        <v>273</v>
      </c>
      <c r="B6" s="3" t="s">
        <v>415</v>
      </c>
      <c r="C6" s="3" t="s">
        <v>416</v>
      </c>
      <c r="D6" s="3" t="s">
        <v>139</v>
      </c>
      <c r="E6" s="3" t="s">
        <v>417</v>
      </c>
      <c r="F6" s="3" t="s">
        <v>418</v>
      </c>
    </row>
    <row r="7" spans="1:8" ht="36" customHeight="1" x14ac:dyDescent="0.25">
      <c r="A7" s="2" t="s">
        <v>419</v>
      </c>
      <c r="B7" s="2" t="s">
        <v>420</v>
      </c>
      <c r="C7" s="2" t="s">
        <v>421</v>
      </c>
      <c r="D7" s="2" t="s">
        <v>422</v>
      </c>
      <c r="E7" s="2" t="s">
        <v>423</v>
      </c>
      <c r="F7" s="2" t="s">
        <v>424</v>
      </c>
    </row>
    <row r="8" spans="1:8" ht="36" customHeight="1" x14ac:dyDescent="0.25">
      <c r="A8" s="3" t="s">
        <v>425</v>
      </c>
      <c r="B8" s="3" t="s">
        <v>426</v>
      </c>
      <c r="C8" s="3" t="s">
        <v>427</v>
      </c>
      <c r="D8" s="3" t="s">
        <v>422</v>
      </c>
      <c r="E8" s="3" t="s">
        <v>428</v>
      </c>
      <c r="F8" s="3" t="s">
        <v>429</v>
      </c>
    </row>
    <row r="9" spans="1:8" ht="36" customHeight="1" x14ac:dyDescent="0.25">
      <c r="A9" s="2" t="s">
        <v>430</v>
      </c>
      <c r="B9" s="2" t="s">
        <v>426</v>
      </c>
      <c r="C9" s="2" t="s">
        <v>431</v>
      </c>
      <c r="D9" s="2" t="s">
        <v>422</v>
      </c>
      <c r="E9" s="2" t="s">
        <v>432</v>
      </c>
      <c r="F9" s="2" t="s">
        <v>433</v>
      </c>
    </row>
    <row r="10" spans="1:8" ht="36" customHeight="1" x14ac:dyDescent="0.25">
      <c r="A10" s="3" t="s">
        <v>434</v>
      </c>
      <c r="B10" s="3" t="s">
        <v>435</v>
      </c>
      <c r="C10" s="3" t="s">
        <v>436</v>
      </c>
      <c r="D10" s="3" t="s">
        <v>422</v>
      </c>
      <c r="E10" s="3" t="s">
        <v>437</v>
      </c>
      <c r="F10" s="3" t="s">
        <v>438</v>
      </c>
    </row>
    <row r="11" spans="1:8" ht="36" customHeight="1" x14ac:dyDescent="0.25">
      <c r="A11" s="2" t="s">
        <v>439</v>
      </c>
      <c r="B11" s="2" t="s">
        <v>420</v>
      </c>
      <c r="C11" s="2" t="s">
        <v>440</v>
      </c>
      <c r="D11" s="2" t="s">
        <v>422</v>
      </c>
      <c r="E11" s="2" t="s">
        <v>441</v>
      </c>
      <c r="F11" s="2" t="s">
        <v>442</v>
      </c>
    </row>
    <row r="12" spans="1:8" ht="36" customHeight="1" x14ac:dyDescent="0.25">
      <c r="A12" s="3" t="s">
        <v>262</v>
      </c>
      <c r="B12" s="3" t="s">
        <v>443</v>
      </c>
      <c r="C12" s="3" t="s">
        <v>444</v>
      </c>
      <c r="D12" s="3" t="s">
        <v>445</v>
      </c>
      <c r="E12" s="3" t="s">
        <v>446</v>
      </c>
      <c r="F12" s="3" t="s">
        <v>447</v>
      </c>
    </row>
    <row r="13" spans="1:8" ht="36" customHeight="1" x14ac:dyDescent="0.25">
      <c r="A13" s="2" t="s">
        <v>448</v>
      </c>
      <c r="B13" s="2" t="s">
        <v>449</v>
      </c>
      <c r="C13" s="2" t="s">
        <v>450</v>
      </c>
      <c r="D13" s="2" t="s">
        <v>55</v>
      </c>
      <c r="E13" s="2" t="s">
        <v>451</v>
      </c>
      <c r="F13" s="2" t="s">
        <v>452</v>
      </c>
    </row>
    <row r="14" spans="1:8" ht="36" customHeight="1" x14ac:dyDescent="0.25">
      <c r="A14" s="3" t="s">
        <v>453</v>
      </c>
      <c r="B14" s="3" t="s">
        <v>454</v>
      </c>
      <c r="C14" s="3" t="s">
        <v>455</v>
      </c>
      <c r="D14" s="3" t="s">
        <v>456</v>
      </c>
      <c r="E14" s="3" t="s">
        <v>457</v>
      </c>
      <c r="F14" s="3" t="s">
        <v>458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Report Types</vt:lpstr>
      <vt:lpstr>Input Filters</vt:lpstr>
      <vt:lpstr>Output Columns</vt:lpstr>
      <vt:lpstr>Processing Pipeline</vt:lpstr>
      <vt:lpstr>Business Logic</vt:lpstr>
      <vt:lpstr>Data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Jawahir</dc:creator>
  <cp:lastModifiedBy>Mohammed Jawahir</cp:lastModifiedBy>
  <dcterms:created xsi:type="dcterms:W3CDTF">2026-06-12T16:30:45Z</dcterms:created>
  <dcterms:modified xsi:type="dcterms:W3CDTF">2026-06-12T17:20:25Z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2026-06-12T16:31:08Z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a2559b6f-8677-4dd3-81df-b6c92113829a</vt:lpwstr>
  </property>
  <property fmtid="{D5CDD505-2E9C-101B-9397-08002B2CF9AE}" pid="7" name="MSIP_Label_defa4170-0d19-0005-0004-bc88714345d2_ActionId">
    <vt:lpwstr>33719df8-add6-4ce6-945b-298b5a139c7f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